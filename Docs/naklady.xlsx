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bo\team-7\"/>
    </mc:Choice>
  </mc:AlternateContent>
  <xr:revisionPtr revIDLastSave="0" documentId="13_ncr:1_{B013FA71-98CA-452B-B286-40CC8E45EA01}" xr6:coauthVersionLast="47" xr6:coauthVersionMax="47" xr10:uidLastSave="{00000000-0000-0000-0000-000000000000}"/>
  <bookViews>
    <workbookView xWindow="28680" yWindow="-120" windowWidth="29040" windowHeight="15720" xr2:uid="{19D1A740-1C33-4B9C-A256-A707425EC74D}"/>
  </bookViews>
  <sheets>
    <sheet name="Náklady na provoz" sheetId="1" r:id="rId1"/>
    <sheet name="Náklady na vývoj" sheetId="2" r:id="rId2"/>
    <sheet name="Náklady celke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3" l="1"/>
  <c r="E22" i="2"/>
  <c r="E23" i="2"/>
  <c r="L16" i="2" s="1"/>
  <c r="E24" i="2"/>
  <c r="E21" i="2"/>
  <c r="E16" i="2"/>
  <c r="E15" i="2"/>
  <c r="E14" i="2"/>
  <c r="E13" i="2"/>
  <c r="E8" i="2"/>
  <c r="L17" i="2" s="1"/>
  <c r="E7" i="2"/>
  <c r="L7" i="2" s="1"/>
  <c r="E6" i="2"/>
  <c r="E5" i="2"/>
  <c r="L5" i="2" s="1"/>
  <c r="C16" i="1"/>
  <c r="C11" i="1"/>
  <c r="C7" i="1"/>
  <c r="C12" i="1"/>
  <c r="I19" i="1"/>
  <c r="I22" i="1"/>
  <c r="C15" i="1" s="1"/>
  <c r="I21" i="1"/>
  <c r="C14" i="1" s="1"/>
  <c r="I20" i="1"/>
  <c r="C13" i="1" s="1"/>
  <c r="I12" i="1"/>
  <c r="I13" i="1"/>
  <c r="I14" i="1"/>
  <c r="I11" i="1"/>
  <c r="I3" i="1"/>
  <c r="L8" i="2" l="1"/>
  <c r="L15" i="2"/>
  <c r="L14" i="2"/>
  <c r="L18" i="2"/>
  <c r="L6" i="2"/>
  <c r="L9" i="2" s="1"/>
</calcChain>
</file>

<file path=xl/sharedStrings.xml><?xml version="1.0" encoding="utf-8"?>
<sst xmlns="http://schemas.openxmlformats.org/spreadsheetml/2006/main" count="101" uniqueCount="42">
  <si>
    <t>Náklady na vývoj</t>
  </si>
  <si>
    <t>Fixní</t>
  </si>
  <si>
    <t>Doména</t>
  </si>
  <si>
    <t>Kč/měs</t>
  </si>
  <si>
    <t>Položka</t>
  </si>
  <si>
    <t>číslo</t>
  </si>
  <si>
    <t>Resend</t>
  </si>
  <si>
    <t>Náklady na provoz</t>
  </si>
  <si>
    <t>Počty uživatelů</t>
  </si>
  <si>
    <t>Konzervativní</t>
  </si>
  <si>
    <t>Realistický</t>
  </si>
  <si>
    <t>Optimistický</t>
  </si>
  <si>
    <t>PERT</t>
  </si>
  <si>
    <t>Celkem</t>
  </si>
  <si>
    <t>Podpora</t>
  </si>
  <si>
    <t>Celkové provozní náklady</t>
  </si>
  <si>
    <t>Fixní náklady</t>
  </si>
  <si>
    <t>Číslo</t>
  </si>
  <si>
    <t>Odměny pracovníků</t>
  </si>
  <si>
    <t>Pracovník</t>
  </si>
  <si>
    <t>Účetní</t>
  </si>
  <si>
    <t>Údržba kodu</t>
  </si>
  <si>
    <t>Moderace</t>
  </si>
  <si>
    <t>Úvazky pracovníků</t>
  </si>
  <si>
    <t>Databáze/backend</t>
  </si>
  <si>
    <t>IT LEAD</t>
  </si>
  <si>
    <t>UX designér</t>
  </si>
  <si>
    <t>Project Manager</t>
  </si>
  <si>
    <t>QA</t>
  </si>
  <si>
    <t>Celkové vývojové náklady MVP</t>
  </si>
  <si>
    <t>Člověkoměsíce MVP</t>
  </si>
  <si>
    <t>Člověkoměsíce PREMIUM</t>
  </si>
  <si>
    <t>Celkové vývojové náklady PREMIUM</t>
  </si>
  <si>
    <t>Kč</t>
  </si>
  <si>
    <t>Náklady celkem</t>
  </si>
  <si>
    <t>Náklady na vývoj MPV</t>
  </si>
  <si>
    <t>Náklady na vývojPREMIUM</t>
  </si>
  <si>
    <t>Plus CCA 20892 Kč měsíčně</t>
  </si>
  <si>
    <t>Zdroje</t>
  </si>
  <si>
    <t>https://sentry.io/pricing/?original_referrer=https%3A%2F%2Fwww.google.com%2F</t>
  </si>
  <si>
    <t>https://www.platy.cz/platy</t>
  </si>
  <si>
    <t>https://supabase.com/pricing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</si>
</sst>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9" formatCode="#,##0.00\ &quot;Kč&quot;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  <xf numFmtId="169" fontId="0" fillId="0" borderId="1" xfId="0" applyNumberFormat="1" applyBorder="1"/>
    <xf numFmtId="169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0" fillId="0" borderId="0" xfId="0" applyBorder="1"/>
    <xf numFmtId="44" fontId="4" fillId="0" borderId="1" xfId="0" applyNumberFormat="1" applyFont="1" applyBorder="1"/>
    <xf numFmtId="44" fontId="0" fillId="0" borderId="1" xfId="1" applyFont="1" applyBorder="1"/>
    <xf numFmtId="0" fontId="3" fillId="0" borderId="0" xfId="2"/>
  </cellXfs>
  <cellStyles count="3">
    <cellStyle name="Hypertextový odkaz" xfId="2" builtinId="8"/>
    <cellStyle name="Měna" xfId="1" builtinId="4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ty.cz/platy" TargetMode="External"/><Relationship Id="rId1" Type="http://schemas.openxmlformats.org/officeDocument/2006/relationships/hyperlink" Target="https://sentry.io/pricing/?original_refer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221D3-1120-4D13-9F48-A3C429E4EB08}">
  <dimension ref="A1:K22"/>
  <sheetViews>
    <sheetView tabSelected="1" workbookViewId="0">
      <selection activeCell="G30" sqref="G30"/>
    </sheetView>
  </sheetViews>
  <sheetFormatPr defaultRowHeight="15" x14ac:dyDescent="0.25"/>
  <cols>
    <col min="1" max="1" width="12.7109375" customWidth="1"/>
    <col min="2" max="2" width="27.140625" customWidth="1"/>
    <col min="3" max="3" width="33.7109375" customWidth="1"/>
    <col min="5" max="5" width="15.28515625" customWidth="1"/>
    <col min="6" max="6" width="12.7109375" bestFit="1" customWidth="1"/>
    <col min="7" max="7" width="14.140625" bestFit="1" customWidth="1"/>
    <col min="8" max="8" width="12" bestFit="1" customWidth="1"/>
    <col min="9" max="9" width="11.5703125" bestFit="1" customWidth="1"/>
  </cols>
  <sheetData>
    <row r="1" spans="1:11" ht="18.75" x14ac:dyDescent="0.3">
      <c r="A1" s="2" t="s">
        <v>7</v>
      </c>
      <c r="B1" s="2"/>
      <c r="C1" s="2"/>
      <c r="D1" s="2"/>
      <c r="F1" s="3" t="s">
        <v>8</v>
      </c>
      <c r="G1" s="3"/>
      <c r="H1" s="3"/>
      <c r="I1" s="3"/>
    </row>
    <row r="2" spans="1:11" x14ac:dyDescent="0.25">
      <c r="A2" s="3" t="s">
        <v>1</v>
      </c>
      <c r="B2" s="3"/>
      <c r="C2" s="3"/>
      <c r="F2" s="4" t="s">
        <v>9</v>
      </c>
      <c r="G2" s="4" t="s">
        <v>10</v>
      </c>
      <c r="H2" s="4" t="s">
        <v>11</v>
      </c>
      <c r="I2" s="4" t="s">
        <v>12</v>
      </c>
    </row>
    <row r="3" spans="1:11" x14ac:dyDescent="0.25">
      <c r="A3" s="4" t="s">
        <v>5</v>
      </c>
      <c r="B3" s="4" t="s">
        <v>4</v>
      </c>
      <c r="C3" s="4" t="s">
        <v>3</v>
      </c>
      <c r="F3" s="4">
        <v>1500</v>
      </c>
      <c r="G3" s="4">
        <v>5000</v>
      </c>
      <c r="H3" s="4">
        <v>10000</v>
      </c>
      <c r="I3" s="4">
        <f>(H3+4*G3+F3)/6</f>
        <v>5250</v>
      </c>
    </row>
    <row r="4" spans="1:11" x14ac:dyDescent="0.25">
      <c r="A4" s="4">
        <v>1</v>
      </c>
      <c r="B4" s="4" t="s">
        <v>2</v>
      </c>
      <c r="C4" s="4">
        <v>20</v>
      </c>
    </row>
    <row r="5" spans="1:11" x14ac:dyDescent="0.25">
      <c r="A5" s="4">
        <v>2</v>
      </c>
      <c r="B5" s="4" t="s">
        <v>6</v>
      </c>
      <c r="C5" s="4">
        <v>435</v>
      </c>
    </row>
    <row r="6" spans="1:11" x14ac:dyDescent="0.25">
      <c r="A6" s="4">
        <v>3</v>
      </c>
      <c r="B6" s="4" t="s">
        <v>24</v>
      </c>
      <c r="C6" s="4">
        <v>600</v>
      </c>
    </row>
    <row r="7" spans="1:11" x14ac:dyDescent="0.25">
      <c r="A7" s="4" t="s">
        <v>13</v>
      </c>
      <c r="B7" s="4"/>
      <c r="C7" s="4">
        <f>SUM(C4:C6)</f>
        <v>1055</v>
      </c>
    </row>
    <row r="9" spans="1:11" x14ac:dyDescent="0.25">
      <c r="A9" s="3" t="s">
        <v>15</v>
      </c>
      <c r="B9" s="3"/>
      <c r="C9" s="3"/>
      <c r="F9" s="1" t="s">
        <v>18</v>
      </c>
      <c r="G9" s="1"/>
      <c r="H9" s="1"/>
      <c r="I9" s="1"/>
    </row>
    <row r="10" spans="1:11" x14ac:dyDescent="0.25">
      <c r="A10" s="4" t="s">
        <v>17</v>
      </c>
      <c r="B10" s="4" t="s">
        <v>4</v>
      </c>
      <c r="C10" s="4" t="s">
        <v>3</v>
      </c>
      <c r="E10" t="s">
        <v>19</v>
      </c>
      <c r="F10" s="4" t="s">
        <v>9</v>
      </c>
      <c r="G10" s="4" t="s">
        <v>10</v>
      </c>
      <c r="H10" s="4" t="s">
        <v>11</v>
      </c>
      <c r="I10" s="6" t="s">
        <v>12</v>
      </c>
      <c r="J10" s="5"/>
      <c r="K10" s="5"/>
    </row>
    <row r="11" spans="1:11" x14ac:dyDescent="0.25">
      <c r="A11" s="4">
        <v>1</v>
      </c>
      <c r="B11" s="4" t="s">
        <v>16</v>
      </c>
      <c r="C11" s="4">
        <f>C7</f>
        <v>1055</v>
      </c>
      <c r="E11" t="s">
        <v>20</v>
      </c>
      <c r="F11" s="8">
        <v>52000</v>
      </c>
      <c r="G11" s="8">
        <v>42000</v>
      </c>
      <c r="H11" s="8">
        <v>35000</v>
      </c>
      <c r="I11" s="7">
        <f>(H11+4*G11+F11)/6</f>
        <v>42500</v>
      </c>
    </row>
    <row r="12" spans="1:11" x14ac:dyDescent="0.25">
      <c r="A12" s="4">
        <v>2</v>
      </c>
      <c r="B12" s="4" t="s">
        <v>20</v>
      </c>
      <c r="C12" s="7">
        <f>I19*I11</f>
        <v>4604.166666666667</v>
      </c>
      <c r="E12" t="s">
        <v>21</v>
      </c>
      <c r="F12" s="8">
        <v>85000</v>
      </c>
      <c r="G12" s="8">
        <v>65000</v>
      </c>
      <c r="H12" s="8">
        <v>50000</v>
      </c>
      <c r="I12" s="7">
        <f t="shared" ref="I12:I14" si="0">(H12+4*G12+F12)/6</f>
        <v>65833.333333333328</v>
      </c>
    </row>
    <row r="13" spans="1:11" x14ac:dyDescent="0.25">
      <c r="A13" s="4">
        <v>3</v>
      </c>
      <c r="B13" s="4" t="s">
        <v>21</v>
      </c>
      <c r="C13" s="7">
        <f t="shared" ref="C13:C16" si="1">I20*I12</f>
        <v>7680.5555555555538</v>
      </c>
      <c r="E13" t="s">
        <v>22</v>
      </c>
      <c r="F13" s="8">
        <v>42000</v>
      </c>
      <c r="G13" s="8">
        <v>34000</v>
      </c>
      <c r="H13" s="8">
        <v>28000</v>
      </c>
      <c r="I13" s="7">
        <f t="shared" si="0"/>
        <v>34333.333333333336</v>
      </c>
    </row>
    <row r="14" spans="1:11" x14ac:dyDescent="0.25">
      <c r="A14" s="4">
        <v>4</v>
      </c>
      <c r="B14" s="4" t="s">
        <v>22</v>
      </c>
      <c r="C14" s="7">
        <f t="shared" si="1"/>
        <v>1773.8888888888891</v>
      </c>
      <c r="E14" t="s">
        <v>14</v>
      </c>
      <c r="F14" s="8">
        <v>45000</v>
      </c>
      <c r="G14" s="8">
        <v>36000</v>
      </c>
      <c r="H14" s="8">
        <v>30000</v>
      </c>
      <c r="I14" s="7">
        <f t="shared" si="0"/>
        <v>36500</v>
      </c>
    </row>
    <row r="15" spans="1:11" x14ac:dyDescent="0.25">
      <c r="A15" s="4">
        <v>5</v>
      </c>
      <c r="B15" s="4" t="s">
        <v>14</v>
      </c>
      <c r="C15" s="7">
        <f t="shared" si="1"/>
        <v>5779.1666666666661</v>
      </c>
    </row>
    <row r="16" spans="1:11" x14ac:dyDescent="0.25">
      <c r="A16" s="4" t="s">
        <v>13</v>
      </c>
      <c r="B16" s="4"/>
      <c r="C16" s="7">
        <f>SUM(C11:C15)</f>
        <v>20892.777777777774</v>
      </c>
    </row>
    <row r="17" spans="5:9" x14ac:dyDescent="0.25">
      <c r="F17" s="1" t="s">
        <v>23</v>
      </c>
      <c r="G17" s="1"/>
      <c r="H17" s="1"/>
      <c r="I17" s="1"/>
    </row>
    <row r="18" spans="5:9" x14ac:dyDescent="0.25">
      <c r="E18" t="s">
        <v>19</v>
      </c>
      <c r="F18" s="4" t="s">
        <v>9</v>
      </c>
      <c r="G18" s="4" t="s">
        <v>10</v>
      </c>
      <c r="H18" s="4" t="s">
        <v>11</v>
      </c>
      <c r="I18" s="6" t="s">
        <v>12</v>
      </c>
    </row>
    <row r="19" spans="5:9" x14ac:dyDescent="0.25">
      <c r="E19" t="s">
        <v>20</v>
      </c>
      <c r="F19" s="9">
        <v>0.2</v>
      </c>
      <c r="G19" s="9">
        <v>0.1</v>
      </c>
      <c r="H19" s="9">
        <v>0.05</v>
      </c>
      <c r="I19" s="10">
        <f>(H19+4*G19+F19)/6</f>
        <v>0.10833333333333334</v>
      </c>
    </row>
    <row r="20" spans="5:9" x14ac:dyDescent="0.25">
      <c r="E20" t="s">
        <v>21</v>
      </c>
      <c r="F20" s="9">
        <v>0.25</v>
      </c>
      <c r="G20" s="9">
        <v>0.1</v>
      </c>
      <c r="H20" s="9">
        <v>0.05</v>
      </c>
      <c r="I20" s="10">
        <f t="shared" ref="I20:I22" si="2">(H20+4*G20+F20)/6</f>
        <v>0.11666666666666665</v>
      </c>
    </row>
    <row r="21" spans="5:9" x14ac:dyDescent="0.25">
      <c r="E21" t="s">
        <v>22</v>
      </c>
      <c r="F21" s="9">
        <v>0.1</v>
      </c>
      <c r="G21" s="9">
        <v>0.05</v>
      </c>
      <c r="H21" s="9">
        <v>0.01</v>
      </c>
      <c r="I21" s="10">
        <f t="shared" si="2"/>
        <v>5.1666666666666673E-2</v>
      </c>
    </row>
    <row r="22" spans="5:9" x14ac:dyDescent="0.25">
      <c r="E22" t="s">
        <v>14</v>
      </c>
      <c r="F22" s="9">
        <v>0.25</v>
      </c>
      <c r="G22" s="9">
        <v>0.15</v>
      </c>
      <c r="H22" s="9">
        <v>0.1</v>
      </c>
      <c r="I22" s="10">
        <f t="shared" si="2"/>
        <v>0.15833333333333333</v>
      </c>
    </row>
  </sheetData>
  <mergeCells count="6">
    <mergeCell ref="A1:D1"/>
    <mergeCell ref="A2:C2"/>
    <mergeCell ref="F1:I1"/>
    <mergeCell ref="A9:C9"/>
    <mergeCell ref="F9:I9"/>
    <mergeCell ref="F17:I1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9BFF-3E26-4035-9081-69043220C571}">
  <dimension ref="A1:L29"/>
  <sheetViews>
    <sheetView workbookViewId="0">
      <selection activeCell="M14" sqref="M14"/>
    </sheetView>
  </sheetViews>
  <sheetFormatPr defaultRowHeight="15" x14ac:dyDescent="0.25"/>
  <cols>
    <col min="1" max="1" width="16.5703125" customWidth="1"/>
    <col min="2" max="2" width="19.5703125" customWidth="1"/>
    <col min="3" max="3" width="15.7109375" customWidth="1"/>
    <col min="4" max="4" width="20.7109375" customWidth="1"/>
    <col min="5" max="5" width="21.140625" customWidth="1"/>
    <col min="10" max="10" width="15.42578125" customWidth="1"/>
    <col min="11" max="11" width="22.140625" customWidth="1"/>
    <col min="12" max="12" width="15.85546875" customWidth="1"/>
  </cols>
  <sheetData>
    <row r="1" spans="1:12" ht="18.75" x14ac:dyDescent="0.3">
      <c r="A1" s="2" t="s">
        <v>0</v>
      </c>
      <c r="B1" s="2"/>
      <c r="C1" s="2"/>
      <c r="D1" s="2"/>
    </row>
    <row r="3" spans="1:12" x14ac:dyDescent="0.25">
      <c r="B3" s="1" t="s">
        <v>18</v>
      </c>
      <c r="C3" s="1"/>
      <c r="D3" s="1"/>
      <c r="E3" s="1"/>
      <c r="J3" s="3" t="s">
        <v>29</v>
      </c>
      <c r="K3" s="3"/>
      <c r="L3" s="3"/>
    </row>
    <row r="4" spans="1:12" x14ac:dyDescent="0.25">
      <c r="A4" t="s">
        <v>19</v>
      </c>
      <c r="B4" s="4" t="s">
        <v>11</v>
      </c>
      <c r="C4" s="4" t="s">
        <v>10</v>
      </c>
      <c r="D4" s="4" t="s">
        <v>9</v>
      </c>
      <c r="E4" s="6" t="s">
        <v>12</v>
      </c>
      <c r="J4" s="4" t="s">
        <v>17</v>
      </c>
      <c r="K4" s="4" t="s">
        <v>4</v>
      </c>
      <c r="L4" s="4" t="s">
        <v>33</v>
      </c>
    </row>
    <row r="5" spans="1:12" x14ac:dyDescent="0.25">
      <c r="A5" t="s">
        <v>25</v>
      </c>
      <c r="B5" s="8">
        <v>96000</v>
      </c>
      <c r="C5" s="8">
        <v>140400</v>
      </c>
      <c r="D5" s="8">
        <v>180000</v>
      </c>
      <c r="E5" s="7">
        <f>(D5+4*C5+B5)/6</f>
        <v>139600</v>
      </c>
      <c r="J5" s="4">
        <v>1</v>
      </c>
      <c r="K5" t="s">
        <v>25</v>
      </c>
      <c r="L5" s="7">
        <f>E5*E13</f>
        <v>500233.33333333337</v>
      </c>
    </row>
    <row r="6" spans="1:12" x14ac:dyDescent="0.25">
      <c r="A6" t="s">
        <v>26</v>
      </c>
      <c r="B6" s="8">
        <v>72000</v>
      </c>
      <c r="C6" s="8">
        <v>106800</v>
      </c>
      <c r="D6" s="8">
        <v>138000</v>
      </c>
      <c r="E6" s="7">
        <f t="shared" ref="E6:E8" si="0">(D6+4*C6+B6)/6</f>
        <v>106200</v>
      </c>
      <c r="J6" s="4">
        <v>2</v>
      </c>
      <c r="K6" t="s">
        <v>26</v>
      </c>
      <c r="L6" s="7">
        <f t="shared" ref="L6:L8" si="1">E6*E14</f>
        <v>269925</v>
      </c>
    </row>
    <row r="7" spans="1:12" x14ac:dyDescent="0.25">
      <c r="A7" t="s">
        <v>27</v>
      </c>
      <c r="B7" s="8">
        <v>78000</v>
      </c>
      <c r="C7" s="8">
        <v>114000</v>
      </c>
      <c r="D7" s="8">
        <v>144000</v>
      </c>
      <c r="E7" s="7">
        <f t="shared" si="0"/>
        <v>113000</v>
      </c>
      <c r="J7" s="4">
        <v>3</v>
      </c>
      <c r="K7" t="s">
        <v>27</v>
      </c>
      <c r="L7" s="7">
        <f t="shared" si="1"/>
        <v>202458.33333333334</v>
      </c>
    </row>
    <row r="8" spans="1:12" x14ac:dyDescent="0.25">
      <c r="A8" t="s">
        <v>28</v>
      </c>
      <c r="B8" s="8">
        <v>60000</v>
      </c>
      <c r="C8" s="8">
        <v>84000</v>
      </c>
      <c r="D8" s="8">
        <v>108000</v>
      </c>
      <c r="E8" s="7">
        <f t="shared" si="0"/>
        <v>84000</v>
      </c>
      <c r="J8" s="4">
        <v>4</v>
      </c>
      <c r="K8" t="s">
        <v>28</v>
      </c>
      <c r="L8" s="7">
        <f t="shared" si="1"/>
        <v>217000</v>
      </c>
    </row>
    <row r="9" spans="1:12" x14ac:dyDescent="0.25">
      <c r="J9" s="4" t="s">
        <v>13</v>
      </c>
      <c r="K9" s="4"/>
      <c r="L9" s="7">
        <f>SUM(L5:L8)</f>
        <v>1189616.6666666667</v>
      </c>
    </row>
    <row r="11" spans="1:12" x14ac:dyDescent="0.25">
      <c r="B11" s="1" t="s">
        <v>30</v>
      </c>
      <c r="C11" s="1"/>
      <c r="D11" s="1"/>
      <c r="E11" s="1"/>
    </row>
    <row r="12" spans="1:12" x14ac:dyDescent="0.25">
      <c r="A12" t="s">
        <v>19</v>
      </c>
      <c r="B12" s="4" t="s">
        <v>11</v>
      </c>
      <c r="C12" s="4" t="s">
        <v>10</v>
      </c>
      <c r="D12" s="4" t="s">
        <v>9</v>
      </c>
      <c r="E12" s="6" t="s">
        <v>12</v>
      </c>
      <c r="J12" s="3" t="s">
        <v>32</v>
      </c>
      <c r="K12" s="3"/>
      <c r="L12" s="3"/>
    </row>
    <row r="13" spans="1:12" x14ac:dyDescent="0.25">
      <c r="A13" t="s">
        <v>25</v>
      </c>
      <c r="B13" s="9">
        <v>3</v>
      </c>
      <c r="C13" s="9">
        <v>3.5</v>
      </c>
      <c r="D13" s="9">
        <v>4.5</v>
      </c>
      <c r="E13" s="10">
        <f>(D13+4*C13+B13)/6</f>
        <v>3.5833333333333335</v>
      </c>
      <c r="J13" s="4" t="s">
        <v>17</v>
      </c>
      <c r="K13" s="4" t="s">
        <v>4</v>
      </c>
      <c r="L13" s="4" t="s">
        <v>33</v>
      </c>
    </row>
    <row r="14" spans="1:12" x14ac:dyDescent="0.25">
      <c r="A14" t="s">
        <v>26</v>
      </c>
      <c r="B14" s="9">
        <v>2.25</v>
      </c>
      <c r="C14" s="9">
        <v>2.5</v>
      </c>
      <c r="D14" s="9">
        <v>3</v>
      </c>
      <c r="E14" s="10">
        <f t="shared" ref="E14:E16" si="2">(D14+4*C14+B14)/6</f>
        <v>2.5416666666666665</v>
      </c>
      <c r="J14" s="4">
        <v>1</v>
      </c>
      <c r="K14" t="s">
        <v>25</v>
      </c>
      <c r="L14" s="7">
        <f>E21*E5</f>
        <v>145416.66666666669</v>
      </c>
    </row>
    <row r="15" spans="1:12" x14ac:dyDescent="0.25">
      <c r="A15" t="s">
        <v>27</v>
      </c>
      <c r="B15" s="9">
        <v>1.5</v>
      </c>
      <c r="C15" s="9">
        <v>1.75</v>
      </c>
      <c r="D15" s="9">
        <v>2.25</v>
      </c>
      <c r="E15" s="10">
        <f t="shared" si="2"/>
        <v>1.7916666666666667</v>
      </c>
      <c r="J15" s="4">
        <v>2</v>
      </c>
      <c r="K15" t="s">
        <v>26</v>
      </c>
      <c r="L15" s="7">
        <f t="shared" ref="L15:L17" si="3">E22*E6</f>
        <v>55312.500000000007</v>
      </c>
    </row>
    <row r="16" spans="1:12" x14ac:dyDescent="0.25">
      <c r="A16" t="s">
        <v>28</v>
      </c>
      <c r="B16" s="9">
        <v>2</v>
      </c>
      <c r="C16" s="9">
        <v>2.5</v>
      </c>
      <c r="D16" s="9">
        <v>3.5</v>
      </c>
      <c r="E16" s="10">
        <f t="shared" si="2"/>
        <v>2.5833333333333335</v>
      </c>
      <c r="J16" s="4">
        <v>3</v>
      </c>
      <c r="K16" t="s">
        <v>27</v>
      </c>
      <c r="L16" s="7">
        <f t="shared" si="3"/>
        <v>58854.166666666672</v>
      </c>
    </row>
    <row r="17" spans="1:12" x14ac:dyDescent="0.25">
      <c r="D17" s="9"/>
      <c r="E17" s="9"/>
      <c r="J17" s="4">
        <v>4</v>
      </c>
      <c r="K17" t="s">
        <v>28</v>
      </c>
      <c r="L17" s="7">
        <f t="shared" si="3"/>
        <v>87500</v>
      </c>
    </row>
    <row r="18" spans="1:12" x14ac:dyDescent="0.25">
      <c r="J18" s="4" t="s">
        <v>13</v>
      </c>
      <c r="K18" s="4"/>
      <c r="L18" s="7">
        <f>SUM(L14:L17)</f>
        <v>347083.33333333337</v>
      </c>
    </row>
    <row r="19" spans="1:12" x14ac:dyDescent="0.25">
      <c r="B19" s="1" t="s">
        <v>31</v>
      </c>
      <c r="C19" s="1"/>
      <c r="D19" s="1"/>
      <c r="E19" s="1"/>
    </row>
    <row r="20" spans="1:12" x14ac:dyDescent="0.25">
      <c r="A20" t="s">
        <v>19</v>
      </c>
      <c r="B20" s="4" t="s">
        <v>11</v>
      </c>
      <c r="C20" s="4" t="s">
        <v>10</v>
      </c>
      <c r="D20" s="4" t="s">
        <v>9</v>
      </c>
      <c r="E20" s="6" t="s">
        <v>12</v>
      </c>
    </row>
    <row r="21" spans="1:12" x14ac:dyDescent="0.25">
      <c r="A21" t="s">
        <v>25</v>
      </c>
      <c r="B21" s="9">
        <v>0.75</v>
      </c>
      <c r="C21" s="9">
        <v>1</v>
      </c>
      <c r="D21" s="9">
        <v>1.5</v>
      </c>
      <c r="E21" s="10">
        <f>(D21+4*C21+B21)/6</f>
        <v>1.0416666666666667</v>
      </c>
    </row>
    <row r="22" spans="1:12" x14ac:dyDescent="0.25">
      <c r="A22" t="s">
        <v>26</v>
      </c>
      <c r="B22" s="9">
        <v>0.375</v>
      </c>
      <c r="C22" s="9">
        <v>0.5</v>
      </c>
      <c r="D22" s="9">
        <v>0.75</v>
      </c>
      <c r="E22" s="10">
        <f t="shared" ref="E22:E24" si="4">(D22+4*C22+B22)/6</f>
        <v>0.52083333333333337</v>
      </c>
    </row>
    <row r="23" spans="1:12" x14ac:dyDescent="0.25">
      <c r="A23" t="s">
        <v>27</v>
      </c>
      <c r="B23" s="9">
        <v>0.375</v>
      </c>
      <c r="C23" s="9">
        <v>0.5</v>
      </c>
      <c r="D23" s="9">
        <v>0.75</v>
      </c>
      <c r="E23" s="10">
        <f t="shared" si="4"/>
        <v>0.52083333333333337</v>
      </c>
    </row>
    <row r="24" spans="1:12" x14ac:dyDescent="0.25">
      <c r="A24" t="s">
        <v>28</v>
      </c>
      <c r="B24" s="9">
        <v>0.75</v>
      </c>
      <c r="C24" s="9">
        <v>1</v>
      </c>
      <c r="D24" s="9">
        <v>1.5</v>
      </c>
      <c r="E24" s="10">
        <f t="shared" si="4"/>
        <v>1.0416666666666667</v>
      </c>
    </row>
    <row r="28" spans="1:12" x14ac:dyDescent="0.25">
      <c r="B28" s="11"/>
    </row>
    <row r="29" spans="1:12" x14ac:dyDescent="0.25">
      <c r="D29" s="9"/>
    </row>
  </sheetData>
  <mergeCells count="6">
    <mergeCell ref="A1:D1"/>
    <mergeCell ref="B3:E3"/>
    <mergeCell ref="B11:E11"/>
    <mergeCell ref="J3:L3"/>
    <mergeCell ref="B19:E19"/>
    <mergeCell ref="J12:L1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8D1E3-F3CE-432C-8672-176321CC1755}">
  <dimension ref="A1:B11"/>
  <sheetViews>
    <sheetView workbookViewId="0">
      <selection activeCell="A17" sqref="A17"/>
    </sheetView>
  </sheetViews>
  <sheetFormatPr defaultRowHeight="15" x14ac:dyDescent="0.25"/>
  <cols>
    <col min="1" max="1" width="74.85546875" bestFit="1" customWidth="1"/>
    <col min="2" max="2" width="21.140625" customWidth="1"/>
  </cols>
  <sheetData>
    <row r="1" spans="1:2" x14ac:dyDescent="0.25">
      <c r="A1" s="4" t="s">
        <v>34</v>
      </c>
      <c r="B1" s="12">
        <f>B3+B2</f>
        <v>1536700</v>
      </c>
    </row>
    <row r="2" spans="1:2" x14ac:dyDescent="0.25">
      <c r="A2" s="4" t="s">
        <v>35</v>
      </c>
      <c r="B2" s="13">
        <v>1189616.6666666667</v>
      </c>
    </row>
    <row r="3" spans="1:2" x14ac:dyDescent="0.25">
      <c r="A3" s="4" t="s">
        <v>36</v>
      </c>
      <c r="B3" s="13">
        <v>347083.33333333337</v>
      </c>
    </row>
    <row r="5" spans="1:2" x14ac:dyDescent="0.25">
      <c r="A5" t="s">
        <v>37</v>
      </c>
    </row>
    <row r="8" spans="1:2" x14ac:dyDescent="0.25">
      <c r="A8" t="s">
        <v>38</v>
      </c>
    </row>
    <row r="9" spans="1:2" x14ac:dyDescent="0.25">
      <c r="A9" s="14" t="s">
        <v>40</v>
      </c>
    </row>
    <row r="10" spans="1:2" x14ac:dyDescent="0.25">
      <c r="A10" s="14" t="s">
        <v>39</v>
      </c>
    </row>
    <row r="11" spans="1:2" x14ac:dyDescent="0.25">
      <c r="A11" t="s">
        <v>41</v>
      </c>
    </row>
  </sheetData>
  <hyperlinks>
    <hyperlink ref="A10" r:id="rId1" xr:uid="{A88CB09C-0C6F-4DAC-850B-DE531A9652BF}"/>
    <hyperlink ref="A9" r:id="rId2" xr:uid="{DA5771A3-FF78-4CB4-90E0-F37C21D3480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Náklady na provoz</vt:lpstr>
      <vt:lpstr>Náklady na vývoj</vt:lpstr>
      <vt:lpstr>Náklady celkem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Mikuláš Bílek</dc:creator>
  <cp:lastModifiedBy>Mikuláš Bílek</cp:lastModifiedBy>
  <dcterms:created xsi:type="dcterms:W3CDTF">2026-10-11T08:52:06Z</dcterms:created>
  <dcterms:modified xsi:type="dcterms:W3CDTF">2026-10-11T09:57:32Z</dcterms:modified>
</cp:coreProperties>
</file>