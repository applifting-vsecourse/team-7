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ek\Desktop\school\Magistr\3-sem\agile-dev\"/>
    </mc:Choice>
  </mc:AlternateContent>
  <xr:revisionPtr revIDLastSave="0" documentId="13_ncr:1_{D2AC3060-3C88-408A-B230-A04456A2CCB6}" xr6:coauthVersionLast="47" xr6:coauthVersionMax="47" xr10:uidLastSave="{00000000-0000-0000-0000-000000000000}"/>
  <bookViews>
    <workbookView xWindow="-120" yWindow="-120" windowWidth="29040" windowHeight="16440" tabRatio="500" activeTab="3" xr2:uid="{00000000-000D-0000-FFFF-FFFF00000000}"/>
  </bookViews>
  <sheets>
    <sheet name="Přehled" sheetId="1" r:id="rId1"/>
    <sheet name="Ceník a konkurence" sheetId="2" r:id="rId2"/>
    <sheet name="Reklamy" sheetId="3" r:id="rId3"/>
    <sheet name="Výpočty a citlivost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3" l="1"/>
  <c r="E24" i="4"/>
  <c r="D24" i="4"/>
  <c r="C24" i="4"/>
  <c r="B24" i="4"/>
  <c r="E23" i="4"/>
  <c r="B19" i="4"/>
  <c r="B18" i="4"/>
  <c r="B17" i="4"/>
  <c r="F13" i="3"/>
  <c r="E13" i="3"/>
  <c r="D13" i="3"/>
  <c r="C13" i="3"/>
  <c r="E10" i="3"/>
  <c r="D31" i="2"/>
  <c r="D30" i="2"/>
  <c r="D29" i="2"/>
  <c r="D26" i="2"/>
  <c r="D25" i="2"/>
  <c r="D24" i="2"/>
  <c r="D23" i="2"/>
  <c r="C30" i="2" s="1"/>
  <c r="C31" i="2" s="1"/>
  <c r="D22" i="2"/>
  <c r="D21" i="2"/>
  <c r="D20" i="2"/>
  <c r="D19" i="2"/>
  <c r="D18" i="2"/>
  <c r="C29" i="2" s="1"/>
  <c r="C23" i="4" l="1"/>
  <c r="D23" i="4"/>
  <c r="B23" i="4"/>
  <c r="C36" i="4"/>
  <c r="B36" i="4"/>
  <c r="E35" i="4"/>
  <c r="D35" i="4"/>
  <c r="E33" i="4"/>
  <c r="C33" i="4"/>
  <c r="E32" i="4"/>
  <c r="E31" i="4"/>
  <c r="E34" i="4"/>
  <c r="E36" i="4"/>
  <c r="E22" i="4"/>
  <c r="E25" i="4" s="1"/>
  <c r="D22" i="4"/>
  <c r="C22" i="4"/>
  <c r="B22" i="4"/>
  <c r="F16" i="3"/>
  <c r="F17" i="3" s="1"/>
  <c r="E26" i="4" s="1"/>
  <c r="E12" i="1" s="1"/>
  <c r="E16" i="3"/>
  <c r="E17" i="3" s="1"/>
  <c r="D26" i="4" s="1"/>
  <c r="D12" i="1" s="1"/>
  <c r="D16" i="3"/>
  <c r="D17" i="3" s="1"/>
  <c r="C26" i="4" s="1"/>
  <c r="C12" i="1" s="1"/>
  <c r="C16" i="3"/>
  <c r="C17" i="3" s="1"/>
  <c r="B26" i="4" s="1"/>
  <c r="B12" i="1" s="1"/>
  <c r="E31" i="2"/>
  <c r="E30" i="2"/>
  <c r="E29" i="2"/>
  <c r="E27" i="4" l="1"/>
  <c r="E11" i="1"/>
  <c r="D25" i="4"/>
  <c r="C25" i="4"/>
  <c r="B25" i="4"/>
  <c r="C32" i="4"/>
  <c r="C31" i="4"/>
  <c r="C35" i="4"/>
  <c r="C34" i="4"/>
  <c r="D34" i="4"/>
  <c r="D33" i="4"/>
  <c r="D32" i="4"/>
  <c r="D31" i="4"/>
  <c r="D36" i="4"/>
  <c r="B35" i="4"/>
  <c r="B33" i="4"/>
  <c r="B32" i="4"/>
  <c r="B34" i="4"/>
  <c r="B31" i="4"/>
  <c r="E28" i="4" l="1"/>
  <c r="E14" i="1" s="1"/>
  <c r="E13" i="1"/>
  <c r="D11" i="1"/>
  <c r="D27" i="4"/>
  <c r="C11" i="1"/>
  <c r="C27" i="4"/>
  <c r="B11" i="1"/>
  <c r="B27" i="4"/>
  <c r="D28" i="4" l="1"/>
  <c r="D14" i="1" s="1"/>
  <c r="D13" i="1"/>
  <c r="C28" i="4"/>
  <c r="C14" i="1" s="1"/>
  <c r="C13" i="1"/>
  <c r="B28" i="4"/>
  <c r="B14" i="1" s="1"/>
  <c r="B13" i="1"/>
</calcChain>
</file>

<file path=xl/sharedStrings.xml><?xml version="1.0" encoding="utf-8"?>
<sst xmlns="http://schemas.openxmlformats.org/spreadsheetml/2006/main" count="187" uniqueCount="140">
  <si>
    <t>TrainLoop – jak budeme vydělávat</t>
  </si>
  <si>
    <t>Shrnutí na jednu minutu. Detaily jsou na dalších listech.</t>
  </si>
  <si>
    <r>
      <rPr>
        <b/>
        <sz val="10"/>
        <color rgb="FF1F3864"/>
        <rFont val="Arial"/>
        <charset val="1"/>
      </rPr>
      <t xml:space="preserve">Co je v sešitu
</t>
    </r>
    <r>
      <rPr>
        <sz val="10"/>
        <rFont val="Arial"/>
        <charset val="1"/>
      </rPr>
      <t>• Přehled: celý plán a výsledek na jedné stránce.
• Ceník a konkurence: naše ceny v CZK, EUR a USD a srovnání s konkurencí.
• Reklamy: kolik vydělají reklamy u uživatelů zdarma.
• Výpočty a citlivost: výnos z předplatného a jak se mění podle konverze. To je hlavní část.</t>
    </r>
  </si>
  <si>
    <r>
      <rPr>
        <b/>
        <sz val="10"/>
        <color rgb="FF1F3864"/>
        <rFont val="Arial"/>
        <charset val="1"/>
      </rPr>
      <t xml:space="preserve">1. MVP – zatím bez peněz
</t>
    </r>
    <r>
      <rPr>
        <sz val="10"/>
        <rFont val="Arial"/>
        <charset val="1"/>
      </rPr>
      <t>• První verze je jen digitální deník tréninků.
• Nic se neplatí: žádné Plus, Pro, školy ani reklamy.
• Cíl: získat uživatele a doladit základní funkce. Deník zůstane zdarma i potom.</t>
    </r>
  </si>
  <si>
    <r>
      <rPr>
        <b/>
        <sz val="10"/>
        <color rgb="FF1F3864"/>
        <rFont val="Arial"/>
        <charset val="1"/>
      </rPr>
      <t xml:space="preserve">2. Placená verze (v2) – všechno najednou
</t>
    </r>
    <r>
      <rPr>
        <sz val="10"/>
        <rFont val="Arial"/>
        <charset val="1"/>
      </rPr>
      <t>• Páníček: základ zdarma, Plus za 99 Kč měsíčně.
• Trenér: Pro 20 za 199 Kč, Pro+ za 399 Kč. Psí školy od 549 Kč.
• Jsme o 60–80 % levnější než konkurence. Každý placený tarif má 30 dní zdarma.
• Uživatelé zdarma vidí nenápadné reklamy, nikdy ne během tréninku.</t>
    </r>
  </si>
  <si>
    <t>Výnos za měsíc (základ)</t>
  </si>
  <si>
    <t>1 500 MAU</t>
  </si>
  <si>
    <t>5 000 MAU</t>
  </si>
  <si>
    <t>10 000 MAU</t>
  </si>
  <si>
    <t>50 000 MAU</t>
  </si>
  <si>
    <t>Předplatné</t>
  </si>
  <si>
    <t>Reklamy</t>
  </si>
  <si>
    <t>Celkem za měsíc</t>
  </si>
  <si>
    <t>Celkem za rok</t>
  </si>
  <si>
    <r>
      <rPr>
        <b/>
        <sz val="10"/>
        <color rgb="FF1F3864"/>
        <rFont val="Arial"/>
        <charset val="1"/>
      </rPr>
      <t xml:space="preserve">3. Co z toho plyne
</t>
    </r>
    <r>
      <rPr>
        <sz val="10"/>
        <rFont val="Arial"/>
        <charset val="1"/>
      </rPr>
      <t>• Peníze přinese hlavně předplatné (přes 80 %). Reklamy jsou jen doplněk.
• Klíčové číslo je, kolik páníčků si koupí Plus. Měřit ho od prvního dne v2.
• Do 10 000 uživatelů jde nejvýš o desítky tisíc Kč měsíčně, ověříme si tím, že lidé platí. Byznys začíná kolem 50 000 uživatelů.
• Čísla jsou odhad a přesně předpovědět nejdou. Slouží k rozhodování, ne jako slib.</t>
    </r>
  </si>
  <si>
    <t>Ceník a konkurence</t>
  </si>
  <si>
    <t>Ceny jsou včetně DPH. Psí školy bez DPH.</t>
  </si>
  <si>
    <r>
      <rPr>
        <b/>
        <sz val="10"/>
        <color rgb="FF1F3864"/>
        <rFont val="Arial"/>
        <charset val="1"/>
      </rPr>
      <t xml:space="preserve">Jak ceník funguje
</t>
    </r>
    <r>
      <rPr>
        <sz val="10"/>
        <rFont val="Arial"/>
        <charset val="1"/>
      </rPr>
      <t>• Páníček má základ zdarma. Za Plus zaplatí 99 Kč měsíčně, což je pod hranicí 100 Kč a zhruba třetina ceny konkurence.
• Pro 20 a Pro+ jsou pro trenéry. Je to pro ně pracovní nástroj na klienty, proto můžou stát víc a pořád jsou výrazně levnější než konkurence.
• Platí se podle počtu psů. Kdo přeroste limit, doplatí za psa, a od určité chvíle se mu vyplatí vyšší tarif.
• Roční předplatné je o třetinu levnější než 12 měsíčních plateb. Každý placený tarif má 30 dní zdarma na vyzkoušení.
• Ceny v EUR a USD odpovídají korunovým, proto výpočty v sešitu počítají jen v Kč.</t>
    </r>
  </si>
  <si>
    <t>Tarif</t>
  </si>
  <si>
    <t>Pro koho</t>
  </si>
  <si>
    <t>CZK / měs.</t>
  </si>
  <si>
    <t>EUR / měs.</t>
  </si>
  <si>
    <t>USD / měs.</t>
  </si>
  <si>
    <t>CZK / rok</t>
  </si>
  <si>
    <t>Co obsahuje</t>
  </si>
  <si>
    <t>Zdarma</t>
  </si>
  <si>
    <t>Páníček</t>
  </si>
  <si>
    <t>1 pes, 2 aktivní plány, deník tréninků, reklamy</t>
  </si>
  <si>
    <t>Plus</t>
  </si>
  <si>
    <t>2 psi, neomezeně plánů, bez reklam, statistiky, sdílení s rodinou</t>
  </si>
  <si>
    <t>Další pes k Plus</t>
  </si>
  <si>
    <t>za 3. a každého dalšího psa</t>
  </si>
  <si>
    <t>Pro 20</t>
  </si>
  <si>
    <t>Trenér</t>
  </si>
  <si>
    <t>až 20 psů klientů, +12 Kč za každého psa navíc</t>
  </si>
  <si>
    <t>Pro+</t>
  </si>
  <si>
    <t>až 60 psů klientů, +6 Kč za psa navíc, vlastní logo</t>
  </si>
  <si>
    <t>Škola S</t>
  </si>
  <si>
    <t>Psí škola</t>
  </si>
  <si>
    <t>3 trenéři, 60 psů</t>
  </si>
  <si>
    <t>Škola M</t>
  </si>
  <si>
    <t>8 trenérů, 180 psů</t>
  </si>
  <si>
    <t>Škola L</t>
  </si>
  <si>
    <t>neomezeně trenérů, 450 psů</t>
  </si>
  <si>
    <t>Konkurence</t>
  </si>
  <si>
    <t>≈ CZK / měs.</t>
  </si>
  <si>
    <t>Zdroj</t>
  </si>
  <si>
    <t>Dogo</t>
  </si>
  <si>
    <t>Adapty, 2024</t>
  </si>
  <si>
    <t>Woofz</t>
  </si>
  <si>
    <t>App Store</t>
  </si>
  <si>
    <t>Puppr</t>
  </si>
  <si>
    <t>Pupford Academy+</t>
  </si>
  <si>
    <t>pupford.com</t>
  </si>
  <si>
    <t>PawChamp</t>
  </si>
  <si>
    <t>paw-champ.com</t>
  </si>
  <si>
    <t>Pawgress Pro</t>
  </si>
  <si>
    <t>Capterra</t>
  </si>
  <si>
    <t>Paw Partner</t>
  </si>
  <si>
    <t>HeelYeah</t>
  </si>
  <si>
    <t>GetApp</t>
  </si>
  <si>
    <t>Gingr</t>
  </si>
  <si>
    <t>Porovnání</t>
  </si>
  <si>
    <t>Konkurence (medián)</t>
  </si>
  <si>
    <t>TrainLoop</t>
  </si>
  <si>
    <t>Levnější o</t>
  </si>
  <si>
    <t>Co to znamená</t>
  </si>
  <si>
    <t>Plus stojí asi třetinu toho, co běžná aplikace na výcvik psa.</t>
  </si>
  <si>
    <t>Vstupní tarif pro trenéry stojí zlomek ceny softwaru pro trenéry.</t>
  </si>
  <si>
    <t>I nejvyšší tarif je zhruba za třetinu ceny konkurence.</t>
  </si>
  <si>
    <t>Výnos z reklam u uživatelů zdarma, Kč za měsíc.</t>
  </si>
  <si>
    <r>
      <rPr>
        <b/>
        <sz val="10"/>
        <color rgb="FF1F3864"/>
        <rFont val="Arial"/>
        <charset val="1"/>
      </rPr>
      <t xml:space="preserve">Jak reklamy fungují
</t>
    </r>
    <r>
      <rPr>
        <sz val="10"/>
        <rFont val="Arial"/>
        <charset val="1"/>
      </rPr>
      <t>• Reklamy vidí jen uživatelé zdarma. Kdo platí Plus, je klient trenéra nebo je trenér, reklamy nevidí.
• Během tréninku se reklama nikdy neukáže, pes potřebuje plnou pozornost.
• Banner je jen v přehledu a historii. Celoobrazovková reklama přijde až po dokončené lekci, nejvýš jednou.
• Video je dobrovolné: uživatel si za něj např. zachrání sérii tréninků.
• V Česku platí inzerenti za reklamu asi třetinu toho, co v zahraničí. Čím víc uživatelů ze zahraničí, tím víc reklamy vydělají.</t>
    </r>
  </si>
  <si>
    <t>Formát</t>
  </si>
  <si>
    <t>Kde</t>
  </si>
  <si>
    <t>Zobrazení na uživatele / měs.</t>
  </si>
  <si>
    <t>Kč za 1 000 zobrazení – ČR</t>
  </si>
  <si>
    <t>Kč za 1 000 zobrazení – zahraničí</t>
  </si>
  <si>
    <t>Banner</t>
  </si>
  <si>
    <t>přehled, historie</t>
  </si>
  <si>
    <t>Celoobrazovková</t>
  </si>
  <si>
    <t>po dokončené lekci</t>
  </si>
  <si>
    <t>Video (dobrovolné)</t>
  </si>
  <si>
    <t>záchrana série</t>
  </si>
  <si>
    <t>Výnos na 1 uživatele zdarma</t>
  </si>
  <si>
    <t>Výnos z reklam</t>
  </si>
  <si>
    <t>MAU</t>
  </si>
  <si>
    <t>Podíl uživatelů ze zahraničí</t>
  </si>
  <si>
    <t>roste s expanzí</t>
  </si>
  <si>
    <t>Uživatelé zdarma (podíl MAU)</t>
  </si>
  <si>
    <t>zbytek platí nebo je u trenéra</t>
  </si>
  <si>
    <t>Výnos na uživatele zdarma (průměr)</t>
  </si>
  <si>
    <t>Výnos z reklam za měsíc</t>
  </si>
  <si>
    <r>
      <rPr>
        <b/>
        <sz val="10"/>
        <color rgb="FF1F3864"/>
        <rFont val="Arial"/>
        <charset val="1"/>
      </rPr>
      <t xml:space="preserve">Co z toho plyne
</t>
    </r>
    <r>
      <rPr>
        <sz val="10"/>
        <rFont val="Arial"/>
        <charset val="1"/>
      </rPr>
      <t>• Reklamy jsou jen malý doplněk: 1 Kč a méně za uživatele měsíčně.
• Víc by vydělaly jen agresivnější reklamy během tréninku. To by ale kazilo hlavní funkci a lidi by odcházeli.
• Hlavní role reklam je motivovat k přechodu na Plus („bez reklam“).</t>
    </r>
  </si>
  <si>
    <t>Výpočty a citlivost</t>
  </si>
  <si>
    <t>Čistý výnos v Kč za měsíc (po DPH a poplatku obchodu, před náklady).</t>
  </si>
  <si>
    <t>Scénář</t>
  </si>
  <si>
    <t>Měsíčně aktivní uživatelé (MAU)</t>
  </si>
  <si>
    <t>Předpoklady (modré lze měnit)</t>
  </si>
  <si>
    <t>Hodnota</t>
  </si>
  <si>
    <t>Proč</t>
  </si>
  <si>
    <t>Kolik páníčků si koupí Plus</t>
  </si>
  <si>
    <t>náš cíl; tabulka citlivosti dole ukazuje 2–5 %</t>
  </si>
  <si>
    <t>Kolik uživatelů si Plus může koupit</t>
  </si>
  <si>
    <t>zbytek jsou klienti trenérů (plány mají zdarma) a trenéři</t>
  </si>
  <si>
    <t>Platící trenéři (podíl MAU)</t>
  </si>
  <si>
    <t>1 trenér na ~200 uživatelů</t>
  </si>
  <si>
    <t>Psí školy na 10 000 MAU</t>
  </si>
  <si>
    <t>školy se přidávají pomalu, přes osobní prodej</t>
  </si>
  <si>
    <t>Kolik z ceny nám zůstane</t>
  </si>
  <si>
    <t>zbytek je DPH 21 % a poplatek obchodu 15 %</t>
  </si>
  <si>
    <t>Kolik lidí platí ročně</t>
  </si>
  <si>
    <t>roční předplatné je levnější, většina ho volí</t>
  </si>
  <si>
    <t>Kolik nám zůstane za měsíc</t>
  </si>
  <si>
    <t>Čistě</t>
  </si>
  <si>
    <t>Jak</t>
  </si>
  <si>
    <t>Za 1 předplatitele Plus</t>
  </si>
  <si>
    <t>průměr roční a měsíční platby × 70 %</t>
  </si>
  <si>
    <t>Za 1 trenéra (průměr Pro 20 a Pro+)</t>
  </si>
  <si>
    <t>2 ze 3 trenérů mají Pro 20, třetina Pro+</t>
  </si>
  <si>
    <t>Za 1 psí školu (balíček M)</t>
  </si>
  <si>
    <t>bez DPH a bez poplatku obchodu (platí se přes web)</t>
  </si>
  <si>
    <t>Vzorec</t>
  </si>
  <si>
    <t>MAU × 85 % × konverze × čistě za Plus</t>
  </si>
  <si>
    <t>Trenéři</t>
  </si>
  <si>
    <t>MAU × 0,5 % × čistě za trenéra</t>
  </si>
  <si>
    <t>Psí školy</t>
  </si>
  <si>
    <t>počet škol × cena balíčku</t>
  </si>
  <si>
    <t>Předplatné celkem</t>
  </si>
  <si>
    <t>list Reklamy</t>
  </si>
  <si>
    <t>× 12</t>
  </si>
  <si>
    <t>Citlivost: výnos z předplatného za měsíc</t>
  </si>
  <si>
    <t>Jak číst</t>
  </si>
  <si>
    <t>Konverze na Plus 2,0 %</t>
  </si>
  <si>
    <t>Každý řádek = jiný podíl páníčků, kteří si koupí Plus. Trenéři a školy zůstávají stejní. Zvýrazněný řádek je základ.</t>
  </si>
  <si>
    <t>Konverze na Plus 2,5 %</t>
  </si>
  <si>
    <t>Konverze na Plus 3,0 %</t>
  </si>
  <si>
    <t>Konverze na Plus 3,5 % (základ)</t>
  </si>
  <si>
    <t>Konverze na Plus 4,0 %</t>
  </si>
  <si>
    <t>Konverze na Plus 5,0 %</t>
  </si>
  <si>
    <r>
      <rPr>
        <b/>
        <sz val="10"/>
        <color rgb="FF1F3864"/>
        <rFont val="Arial"/>
        <charset val="1"/>
      </rPr>
      <t xml:space="preserve">Co z toho plyne
</t>
    </r>
    <r>
      <rPr>
        <sz val="10"/>
        <rFont val="Arial"/>
        <charset val="1"/>
      </rPr>
      <t>• Předplatné tvoří přes 80 % výnosu. Nejvíc záleží na tom, kolik páníčků si koupí Plus.
• Každé půl procenta konverze navíc přidá při 50 000 MAU zhruba 12 tisíc Kč měsíčně.
• Trenéři vydělají zhruba polovinu toho co Plus, přitom jich je jen 0,5 %. Vyplatí se je aktivně získávat.
• Čísla jsou orientační. Po spuštění v2 dosadit skutečnou konverzi (žlutá buňka) a sešit se přepočítá.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</si>
</sst>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&quot; Kč&quot;;\-#,##0&quot; Kč&quot;;\–"/>
    <numFmt numFmtId="165" formatCode="0.00&quot; €&quot;;;\–"/>
    <numFmt numFmtId="166" formatCode="\$0.00;;\–"/>
    <numFmt numFmtId="167" formatCode="0.0%;\-0.0%;\-"/>
    <numFmt numFmtId="168" formatCode="0.00&quot; Kč&quot;"/>
    <numFmt numFmtId="169" formatCode="0.00%;\-0.00%;\-"/>
  </numFmts>
  <fonts count="11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i/>
      <sz val="10"/>
      <color rgb="FF595959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b/>
      <sz val="10"/>
      <color rgb="FF000000"/>
      <name val="Arial"/>
      <charset val="1"/>
    </font>
    <font>
      <b/>
      <sz val="10"/>
      <color rgb="FF008000"/>
      <name val="Arial"/>
      <charset val="1"/>
    </font>
    <font>
      <sz val="10"/>
      <color rgb="FF0000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2F6F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2F6F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6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1" fillId="0" borderId="0" xfId="0" applyFont="1"/>
    <xf numFmtId="0" fontId="2" fillId="0" borderId="0" xfId="0" applyFont="1"/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6" fillId="0" borderId="0" xfId="0" applyFont="1"/>
    <xf numFmtId="164" fontId="7" fillId="0" borderId="0" xfId="0" applyNumberFormat="1" applyFont="1"/>
    <xf numFmtId="0" fontId="8" fillId="4" borderId="0" xfId="0" applyFont="1" applyFill="1"/>
    <xf numFmtId="164" fontId="9" fillId="4" borderId="0" xfId="0" applyNumberFormat="1" applyFont="1" applyFill="1"/>
    <xf numFmtId="0" fontId="8" fillId="0" borderId="0" xfId="0" applyFont="1"/>
    <xf numFmtId="164" fontId="10" fillId="0" borderId="0" xfId="0" applyNumberFormat="1" applyFont="1"/>
    <xf numFmtId="165" fontId="10" fillId="0" borderId="0" xfId="0" applyNumberFormat="1" applyFont="1"/>
    <xf numFmtId="166" fontId="10" fillId="0" borderId="0" xfId="0" applyNumberFormat="1" applyFont="1"/>
    <xf numFmtId="164" fontId="6" fillId="0" borderId="0" xfId="0" applyNumberFormat="1" applyFont="1"/>
    <xf numFmtId="167" fontId="8" fillId="4" borderId="0" xfId="0" applyNumberFormat="1" applyFont="1" applyFill="1"/>
    <xf numFmtId="3" fontId="10" fillId="0" borderId="0" xfId="0" applyNumberFormat="1" applyFont="1"/>
    <xf numFmtId="0" fontId="0" fillId="4" borderId="0" xfId="0" applyFill="1"/>
    <xf numFmtId="168" fontId="8" fillId="4" borderId="0" xfId="0" applyNumberFormat="1" applyFont="1" applyFill="1"/>
    <xf numFmtId="3" fontId="7" fillId="0" borderId="0" xfId="0" applyNumberFormat="1" applyFont="1"/>
    <xf numFmtId="167" fontId="10" fillId="0" borderId="0" xfId="0" applyNumberFormat="1" applyFont="1"/>
    <xf numFmtId="168" fontId="6" fillId="0" borderId="0" xfId="0" applyNumberFormat="1" applyFont="1"/>
    <xf numFmtId="164" fontId="8" fillId="4" borderId="0" xfId="0" applyNumberFormat="1" applyFont="1" applyFill="1"/>
    <xf numFmtId="167" fontId="10" fillId="5" borderId="0" xfId="0" applyNumberFormat="1" applyFont="1" applyFill="1"/>
    <xf numFmtId="169" fontId="10" fillId="0" borderId="0" xfId="0" applyNumberFormat="1" applyFont="1"/>
    <xf numFmtId="1" fontId="10" fillId="0" borderId="0" xfId="0" applyNumberFormat="1" applyFont="1"/>
    <xf numFmtId="164" fontId="8" fillId="0" borderId="0" xfId="0" applyNumberFormat="1" applyFont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2F6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"/>
  <sheetViews>
    <sheetView showGridLines="0" zoomScaleNormal="100" workbookViewId="0"/>
  </sheetViews>
  <sheetFormatPr defaultColWidth="8.7109375" defaultRowHeight="15" x14ac:dyDescent="0.25"/>
  <cols>
    <col min="1" max="1" width="36" customWidth="1"/>
    <col min="2" max="5" width="16" customWidth="1"/>
  </cols>
  <sheetData>
    <row r="1" spans="1:5" ht="18" x14ac:dyDescent="0.25">
      <c r="A1" s="3" t="s">
        <v>0</v>
      </c>
    </row>
    <row r="2" spans="1:5" x14ac:dyDescent="0.25">
      <c r="A2" s="4" t="s">
        <v>1</v>
      </c>
    </row>
    <row r="4" spans="1:5" ht="69.75" customHeight="1" x14ac:dyDescent="0.25">
      <c r="A4" s="2" t="s">
        <v>2</v>
      </c>
      <c r="B4" s="2"/>
      <c r="C4" s="2"/>
      <c r="D4" s="2"/>
      <c r="E4" s="2"/>
    </row>
    <row r="6" spans="1:5" ht="57" customHeight="1" x14ac:dyDescent="0.25">
      <c r="A6" s="2" t="s">
        <v>3</v>
      </c>
      <c r="B6" s="2"/>
      <c r="C6" s="2"/>
      <c r="D6" s="2"/>
      <c r="E6" s="2"/>
    </row>
    <row r="8" spans="1:5" ht="69.75" customHeight="1" x14ac:dyDescent="0.25">
      <c r="A8" s="2" t="s">
        <v>4</v>
      </c>
      <c r="B8" s="2"/>
      <c r="C8" s="2"/>
      <c r="D8" s="2"/>
      <c r="E8" s="2"/>
    </row>
    <row r="10" spans="1:5" ht="27.75" customHeight="1" x14ac:dyDescent="0.25">
      <c r="A10" s="5" t="s">
        <v>5</v>
      </c>
      <c r="B10" s="6" t="s">
        <v>6</v>
      </c>
      <c r="C10" s="6" t="s">
        <v>7</v>
      </c>
      <c r="D10" s="6" t="s">
        <v>8</v>
      </c>
      <c r="E10" s="6" t="s">
        <v>9</v>
      </c>
    </row>
    <row r="11" spans="1:5" x14ac:dyDescent="0.25">
      <c r="A11" s="7" t="s">
        <v>10</v>
      </c>
      <c r="B11" s="8">
        <f>'Výpočty a citlivost'!B25</f>
        <v>3740</v>
      </c>
      <c r="C11" s="8">
        <f>'Výpočty a citlivost'!C25</f>
        <v>13570</v>
      </c>
      <c r="D11" s="8">
        <f>'Výpočty a citlivost'!D25</f>
        <v>28210</v>
      </c>
      <c r="E11" s="8">
        <f>'Výpočty a citlivost'!E25</f>
        <v>141080</v>
      </c>
    </row>
    <row r="12" spans="1:5" x14ac:dyDescent="0.25">
      <c r="A12" s="7" t="s">
        <v>11</v>
      </c>
      <c r="B12" s="8">
        <f>'Výpočty a citlivost'!B26</f>
        <v>340</v>
      </c>
      <c r="C12" s="8">
        <f>'Výpočty a citlivost'!C26</f>
        <v>1550</v>
      </c>
      <c r="D12" s="8">
        <f>'Výpočty a citlivost'!D26</f>
        <v>4260</v>
      </c>
      <c r="E12" s="8">
        <f>'Výpočty a citlivost'!E26</f>
        <v>29240</v>
      </c>
    </row>
    <row r="13" spans="1:5" x14ac:dyDescent="0.25">
      <c r="A13" s="9" t="s">
        <v>12</v>
      </c>
      <c r="B13" s="10">
        <f>'Výpočty a citlivost'!B27</f>
        <v>4080</v>
      </c>
      <c r="C13" s="10">
        <f>'Výpočty a citlivost'!C27</f>
        <v>15120</v>
      </c>
      <c r="D13" s="10">
        <f>'Výpočty a citlivost'!D27</f>
        <v>32470</v>
      </c>
      <c r="E13" s="10">
        <f>'Výpočty a citlivost'!E27</f>
        <v>170320</v>
      </c>
    </row>
    <row r="14" spans="1:5" x14ac:dyDescent="0.25">
      <c r="A14" s="9" t="s">
        <v>13</v>
      </c>
      <c r="B14" s="10">
        <f>'Výpočty a citlivost'!B28</f>
        <v>48960</v>
      </c>
      <c r="C14" s="10">
        <f>'Výpočty a citlivost'!C28</f>
        <v>181440</v>
      </c>
      <c r="D14" s="10">
        <f>'Výpočty a citlivost'!D28</f>
        <v>389640</v>
      </c>
      <c r="E14" s="10">
        <f>'Výpočty a citlivost'!E28</f>
        <v>2043840</v>
      </c>
    </row>
    <row r="16" spans="1:5" ht="85.5" customHeight="1" x14ac:dyDescent="0.25">
      <c r="A16" s="2" t="s">
        <v>14</v>
      </c>
      <c r="B16" s="2"/>
      <c r="C16" s="2"/>
      <c r="D16" s="2"/>
      <c r="E16" s="2"/>
    </row>
  </sheetData>
  <mergeCells count="4">
    <mergeCell ref="A4:E4"/>
    <mergeCell ref="A6:E6"/>
    <mergeCell ref="A8:E8"/>
    <mergeCell ref="A16:E16"/>
  </mergeCells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1"/>
  <sheetViews>
    <sheetView showGridLines="0" topLeftCell="A3" zoomScaleNormal="100" workbookViewId="0"/>
  </sheetViews>
  <sheetFormatPr defaultColWidth="8.7109375" defaultRowHeight="15" x14ac:dyDescent="0.25"/>
  <cols>
    <col min="1" max="1" width="22" customWidth="1"/>
    <col min="2" max="2" width="16" customWidth="1"/>
    <col min="3" max="5" width="13" customWidth="1"/>
    <col min="6" max="6" width="14" customWidth="1"/>
    <col min="7" max="7" width="62" customWidth="1"/>
  </cols>
  <sheetData>
    <row r="1" spans="1:7" ht="18" x14ac:dyDescent="0.25">
      <c r="A1" s="3" t="s">
        <v>15</v>
      </c>
    </row>
    <row r="2" spans="1:7" x14ac:dyDescent="0.25">
      <c r="A2" s="4" t="s">
        <v>16</v>
      </c>
    </row>
    <row r="4" spans="1:7" ht="82.5" customHeight="1" x14ac:dyDescent="0.25">
      <c r="A4" s="2" t="s">
        <v>17</v>
      </c>
      <c r="B4" s="2"/>
      <c r="C4" s="2"/>
      <c r="D4" s="2"/>
      <c r="E4" s="2"/>
      <c r="F4" s="2"/>
      <c r="G4" s="2"/>
    </row>
    <row r="6" spans="1:7" ht="27.75" customHeight="1" x14ac:dyDescent="0.25">
      <c r="A6" s="5" t="s">
        <v>18</v>
      </c>
      <c r="B6" s="6" t="s">
        <v>19</v>
      </c>
      <c r="C6" s="6" t="s">
        <v>20</v>
      </c>
      <c r="D6" s="6" t="s">
        <v>21</v>
      </c>
      <c r="E6" s="6" t="s">
        <v>22</v>
      </c>
      <c r="F6" s="6" t="s">
        <v>23</v>
      </c>
      <c r="G6" s="6" t="s">
        <v>24</v>
      </c>
    </row>
    <row r="7" spans="1:7" x14ac:dyDescent="0.25">
      <c r="A7" s="11" t="s">
        <v>25</v>
      </c>
      <c r="B7" s="7" t="s">
        <v>26</v>
      </c>
      <c r="C7" s="12">
        <v>0</v>
      </c>
      <c r="D7" s="13">
        <v>0</v>
      </c>
      <c r="E7" s="14">
        <v>0</v>
      </c>
      <c r="F7" s="12">
        <v>0</v>
      </c>
      <c r="G7" s="7" t="s">
        <v>27</v>
      </c>
    </row>
    <row r="8" spans="1:7" x14ac:dyDescent="0.25">
      <c r="A8" s="11" t="s">
        <v>28</v>
      </c>
      <c r="B8" s="7" t="s">
        <v>26</v>
      </c>
      <c r="C8" s="12">
        <v>99</v>
      </c>
      <c r="D8" s="13">
        <v>3.99</v>
      </c>
      <c r="E8" s="14">
        <v>4.99</v>
      </c>
      <c r="F8" s="12">
        <v>790</v>
      </c>
      <c r="G8" s="7" t="s">
        <v>29</v>
      </c>
    </row>
    <row r="9" spans="1:7" x14ac:dyDescent="0.25">
      <c r="A9" s="11" t="s">
        <v>30</v>
      </c>
      <c r="B9" s="7" t="s">
        <v>26</v>
      </c>
      <c r="C9" s="12">
        <v>29</v>
      </c>
      <c r="D9" s="13">
        <v>0.99</v>
      </c>
      <c r="E9" s="14">
        <v>0.99</v>
      </c>
      <c r="G9" s="7" t="s">
        <v>31</v>
      </c>
    </row>
    <row r="10" spans="1:7" x14ac:dyDescent="0.25">
      <c r="A10" s="11" t="s">
        <v>32</v>
      </c>
      <c r="B10" s="7" t="s">
        <v>33</v>
      </c>
      <c r="C10" s="12">
        <v>199</v>
      </c>
      <c r="D10" s="13">
        <v>7.99</v>
      </c>
      <c r="E10" s="14">
        <v>8.99</v>
      </c>
      <c r="F10" s="12">
        <v>1990</v>
      </c>
      <c r="G10" s="7" t="s">
        <v>34</v>
      </c>
    </row>
    <row r="11" spans="1:7" x14ac:dyDescent="0.25">
      <c r="A11" s="11" t="s">
        <v>35</v>
      </c>
      <c r="B11" s="7" t="s">
        <v>33</v>
      </c>
      <c r="C11" s="12">
        <v>399</v>
      </c>
      <c r="D11" s="13">
        <v>15.99</v>
      </c>
      <c r="E11" s="14">
        <v>17.989999999999998</v>
      </c>
      <c r="F11" s="12">
        <v>3990</v>
      </c>
      <c r="G11" s="7" t="s">
        <v>36</v>
      </c>
    </row>
    <row r="12" spans="1:7" x14ac:dyDescent="0.25">
      <c r="A12" s="11" t="s">
        <v>37</v>
      </c>
      <c r="B12" s="7" t="s">
        <v>38</v>
      </c>
      <c r="C12" s="12">
        <v>549</v>
      </c>
      <c r="D12" s="13">
        <v>21.99</v>
      </c>
      <c r="E12" s="14">
        <v>24.99</v>
      </c>
      <c r="G12" s="7" t="s">
        <v>39</v>
      </c>
    </row>
    <row r="13" spans="1:7" x14ac:dyDescent="0.25">
      <c r="A13" s="11" t="s">
        <v>40</v>
      </c>
      <c r="B13" s="7" t="s">
        <v>38</v>
      </c>
      <c r="C13" s="12">
        <v>1090</v>
      </c>
      <c r="D13" s="13">
        <v>43.99</v>
      </c>
      <c r="E13" s="14">
        <v>49.99</v>
      </c>
      <c r="G13" s="7" t="s">
        <v>41</v>
      </c>
    </row>
    <row r="14" spans="1:7" x14ac:dyDescent="0.25">
      <c r="A14" s="11" t="s">
        <v>42</v>
      </c>
      <c r="B14" s="7" t="s">
        <v>38</v>
      </c>
      <c r="C14" s="12">
        <v>1990</v>
      </c>
      <c r="D14" s="13">
        <v>79.989999999999995</v>
      </c>
      <c r="E14" s="14">
        <v>89.99</v>
      </c>
      <c r="G14" s="7" t="s">
        <v>43</v>
      </c>
    </row>
    <row r="17" spans="1:7" ht="27.75" customHeight="1" x14ac:dyDescent="0.25">
      <c r="A17" s="5" t="s">
        <v>44</v>
      </c>
      <c r="B17" s="6" t="s">
        <v>19</v>
      </c>
      <c r="C17" s="6" t="s">
        <v>22</v>
      </c>
      <c r="D17" s="6" t="s">
        <v>45</v>
      </c>
      <c r="E17" s="6"/>
      <c r="F17" s="6"/>
      <c r="G17" s="6" t="s">
        <v>46</v>
      </c>
    </row>
    <row r="18" spans="1:7" x14ac:dyDescent="0.25">
      <c r="A18" s="11" t="s">
        <v>47</v>
      </c>
      <c r="B18" s="7" t="s">
        <v>26</v>
      </c>
      <c r="C18" s="14">
        <v>11.99</v>
      </c>
      <c r="D18" s="15">
        <f t="shared" ref="D18:D26" si="0">C18*21</f>
        <v>251.79</v>
      </c>
      <c r="G18" s="7" t="s">
        <v>48</v>
      </c>
    </row>
    <row r="19" spans="1:7" x14ac:dyDescent="0.25">
      <c r="A19" s="11" t="s">
        <v>49</v>
      </c>
      <c r="B19" s="7" t="s">
        <v>26</v>
      </c>
      <c r="C19" s="14">
        <v>12.99</v>
      </c>
      <c r="D19" s="15">
        <f t="shared" si="0"/>
        <v>272.79000000000002</v>
      </c>
      <c r="G19" s="7" t="s">
        <v>50</v>
      </c>
    </row>
    <row r="20" spans="1:7" x14ac:dyDescent="0.25">
      <c r="A20" s="11" t="s">
        <v>51</v>
      </c>
      <c r="B20" s="7" t="s">
        <v>26</v>
      </c>
      <c r="C20" s="14">
        <v>13.99</v>
      </c>
      <c r="D20" s="15">
        <f t="shared" si="0"/>
        <v>293.79000000000002</v>
      </c>
      <c r="G20" s="7" t="s">
        <v>50</v>
      </c>
    </row>
    <row r="21" spans="1:7" x14ac:dyDescent="0.25">
      <c r="A21" s="11" t="s">
        <v>52</v>
      </c>
      <c r="B21" s="7" t="s">
        <v>26</v>
      </c>
      <c r="C21" s="14">
        <v>9.99</v>
      </c>
      <c r="D21" s="15">
        <f t="shared" si="0"/>
        <v>209.79</v>
      </c>
      <c r="G21" s="7" t="s">
        <v>53</v>
      </c>
    </row>
    <row r="22" spans="1:7" x14ac:dyDescent="0.25">
      <c r="A22" s="11" t="s">
        <v>54</v>
      </c>
      <c r="B22" s="7" t="s">
        <v>26</v>
      </c>
      <c r="C22" s="14">
        <v>40</v>
      </c>
      <c r="D22" s="15">
        <f t="shared" si="0"/>
        <v>840</v>
      </c>
      <c r="G22" s="7" t="s">
        <v>55</v>
      </c>
    </row>
    <row r="23" spans="1:7" x14ac:dyDescent="0.25">
      <c r="A23" s="11" t="s">
        <v>56</v>
      </c>
      <c r="B23" s="7" t="s">
        <v>33</v>
      </c>
      <c r="C23" s="14">
        <v>29</v>
      </c>
      <c r="D23" s="15">
        <f t="shared" si="0"/>
        <v>609</v>
      </c>
      <c r="G23" s="7" t="s">
        <v>57</v>
      </c>
    </row>
    <row r="24" spans="1:7" x14ac:dyDescent="0.25">
      <c r="A24" s="11" t="s">
        <v>58</v>
      </c>
      <c r="B24" s="7" t="s">
        <v>33</v>
      </c>
      <c r="C24" s="14">
        <v>44.99</v>
      </c>
      <c r="D24" s="15">
        <f t="shared" si="0"/>
        <v>944.79000000000008</v>
      </c>
      <c r="G24" s="7" t="s">
        <v>57</v>
      </c>
    </row>
    <row r="25" spans="1:7" x14ac:dyDescent="0.25">
      <c r="A25" s="11" t="s">
        <v>59</v>
      </c>
      <c r="B25" s="7" t="s">
        <v>33</v>
      </c>
      <c r="C25" s="14">
        <v>49</v>
      </c>
      <c r="D25" s="15">
        <f t="shared" si="0"/>
        <v>1029</v>
      </c>
      <c r="G25" s="7" t="s">
        <v>60</v>
      </c>
    </row>
    <row r="26" spans="1:7" x14ac:dyDescent="0.25">
      <c r="A26" s="11" t="s">
        <v>61</v>
      </c>
      <c r="B26" s="7" t="s">
        <v>33</v>
      </c>
      <c r="C26" s="14">
        <v>95</v>
      </c>
      <c r="D26" s="15">
        <f t="shared" si="0"/>
        <v>1995</v>
      </c>
      <c r="G26" s="7" t="s">
        <v>57</v>
      </c>
    </row>
    <row r="28" spans="1:7" ht="27.75" customHeight="1" x14ac:dyDescent="0.25">
      <c r="A28" s="5" t="s">
        <v>62</v>
      </c>
      <c r="B28" s="6"/>
      <c r="C28" s="6" t="s">
        <v>63</v>
      </c>
      <c r="D28" s="6" t="s">
        <v>64</v>
      </c>
      <c r="E28" s="6" t="s">
        <v>65</v>
      </c>
      <c r="F28" s="6"/>
      <c r="G28" s="6" t="s">
        <v>66</v>
      </c>
    </row>
    <row r="29" spans="1:7" x14ac:dyDescent="0.25">
      <c r="A29" s="11" t="s">
        <v>26</v>
      </c>
      <c r="B29" s="7" t="s">
        <v>28</v>
      </c>
      <c r="C29" s="15">
        <f>MEDIAN(D18:D22)</f>
        <v>272.79000000000002</v>
      </c>
      <c r="D29" s="8">
        <f>C8</f>
        <v>99</v>
      </c>
      <c r="E29" s="16">
        <f>1-D29/C29</f>
        <v>0.63708347080171568</v>
      </c>
      <c r="G29" s="7" t="s">
        <v>67</v>
      </c>
    </row>
    <row r="30" spans="1:7" x14ac:dyDescent="0.25">
      <c r="A30" s="11" t="s">
        <v>33</v>
      </c>
      <c r="B30" s="7" t="s">
        <v>32</v>
      </c>
      <c r="C30" s="15">
        <f>MEDIAN(D23:D26)</f>
        <v>986.89499999999998</v>
      </c>
      <c r="D30" s="8">
        <f>C10</f>
        <v>199</v>
      </c>
      <c r="E30" s="16">
        <f>1-D30/C30</f>
        <v>0.79835747470602247</v>
      </c>
      <c r="G30" s="7" t="s">
        <v>68</v>
      </c>
    </row>
    <row r="31" spans="1:7" x14ac:dyDescent="0.25">
      <c r="A31" s="11" t="s">
        <v>33</v>
      </c>
      <c r="B31" s="7" t="s">
        <v>35</v>
      </c>
      <c r="C31" s="15">
        <f>C30</f>
        <v>986.89499999999998</v>
      </c>
      <c r="D31" s="8">
        <f>C11</f>
        <v>399</v>
      </c>
      <c r="E31" s="16">
        <f>1-D31/C31</f>
        <v>0.59570167039046706</v>
      </c>
      <c r="G31" s="7" t="s">
        <v>69</v>
      </c>
    </row>
  </sheetData>
  <mergeCells count="1">
    <mergeCell ref="A4:G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9"/>
  <sheetViews>
    <sheetView showGridLines="0" topLeftCell="A3" zoomScaleNormal="100" workbookViewId="0">
      <selection activeCell="H6" sqref="H6"/>
    </sheetView>
  </sheetViews>
  <sheetFormatPr defaultColWidth="8.7109375" defaultRowHeight="15" x14ac:dyDescent="0.25"/>
  <cols>
    <col min="1" max="1" width="34" customWidth="1"/>
    <col min="2" max="2" width="30" customWidth="1"/>
    <col min="3" max="4" width="16" customWidth="1"/>
    <col min="5" max="5" width="18" customWidth="1"/>
    <col min="6" max="6" width="16" customWidth="1"/>
  </cols>
  <sheetData>
    <row r="1" spans="1:6" ht="18" x14ac:dyDescent="0.25">
      <c r="A1" s="3" t="s">
        <v>11</v>
      </c>
    </row>
    <row r="2" spans="1:6" x14ac:dyDescent="0.25">
      <c r="A2" s="4" t="s">
        <v>70</v>
      </c>
    </row>
    <row r="4" spans="1:6" ht="82.5" customHeight="1" x14ac:dyDescent="0.25">
      <c r="A4" s="2" t="s">
        <v>71</v>
      </c>
      <c r="B4" s="2"/>
      <c r="C4" s="2"/>
      <c r="D4" s="2"/>
      <c r="E4" s="2"/>
      <c r="F4" s="2"/>
    </row>
    <row r="6" spans="1:6" ht="42" customHeight="1" x14ac:dyDescent="0.25">
      <c r="A6" s="5" t="s">
        <v>72</v>
      </c>
      <c r="B6" s="6" t="s">
        <v>73</v>
      </c>
      <c r="C6" s="6" t="s">
        <v>74</v>
      </c>
      <c r="D6" s="6" t="s">
        <v>75</v>
      </c>
      <c r="E6" s="6" t="s">
        <v>76</v>
      </c>
      <c r="F6" s="6"/>
    </row>
    <row r="7" spans="1:6" x14ac:dyDescent="0.25">
      <c r="A7" s="11" t="s">
        <v>77</v>
      </c>
      <c r="B7" s="7" t="s">
        <v>78</v>
      </c>
      <c r="C7" s="17">
        <v>34</v>
      </c>
      <c r="D7" s="12">
        <v>3</v>
      </c>
      <c r="E7" s="12">
        <v>10</v>
      </c>
    </row>
    <row r="8" spans="1:6" x14ac:dyDescent="0.25">
      <c r="A8" s="11" t="s">
        <v>79</v>
      </c>
      <c r="B8" s="7" t="s">
        <v>80</v>
      </c>
      <c r="C8" s="17">
        <v>6</v>
      </c>
      <c r="D8" s="12">
        <v>20</v>
      </c>
      <c r="E8" s="12">
        <v>70</v>
      </c>
    </row>
    <row r="9" spans="1:6" x14ac:dyDescent="0.25">
      <c r="A9" s="11" t="s">
        <v>81</v>
      </c>
      <c r="B9" s="7" t="s">
        <v>82</v>
      </c>
      <c r="C9" s="17">
        <v>1</v>
      </c>
      <c r="D9" s="12">
        <v>45</v>
      </c>
      <c r="E9" s="12">
        <v>170</v>
      </c>
    </row>
    <row r="10" spans="1:6" x14ac:dyDescent="0.25">
      <c r="A10" s="9" t="s">
        <v>83</v>
      </c>
      <c r="B10" s="18"/>
      <c r="C10" s="18"/>
      <c r="D10" s="19">
        <f>SUMPRODUCT($C$7:$C$9,D7:D9)/1000</f>
        <v>0.26700000000000002</v>
      </c>
      <c r="E10" s="19">
        <f>SUMPRODUCT($C$7:$C$9,E7:E9)/1000</f>
        <v>0.93</v>
      </c>
    </row>
    <row r="12" spans="1:6" ht="27.75" customHeight="1" x14ac:dyDescent="0.25">
      <c r="A12" s="5" t="s">
        <v>84</v>
      </c>
      <c r="B12" s="6"/>
      <c r="C12" s="6" t="s">
        <v>6</v>
      </c>
      <c r="D12" s="6" t="s">
        <v>7</v>
      </c>
      <c r="E12" s="6" t="s">
        <v>8</v>
      </c>
      <c r="F12" s="6" t="s">
        <v>9</v>
      </c>
    </row>
    <row r="13" spans="1:6" x14ac:dyDescent="0.25">
      <c r="A13" s="7" t="s">
        <v>85</v>
      </c>
      <c r="C13" s="20">
        <f>'Výpočty a citlivost'!B6</f>
        <v>1500</v>
      </c>
      <c r="D13" s="20">
        <f>'Výpočty a citlivost'!C6</f>
        <v>5000</v>
      </c>
      <c r="E13" s="20">
        <f>'Výpočty a citlivost'!D6</f>
        <v>10000</v>
      </c>
      <c r="F13" s="20">
        <f>'Výpočty a citlivost'!E6</f>
        <v>50000</v>
      </c>
    </row>
    <row r="14" spans="1:6" x14ac:dyDescent="0.25">
      <c r="A14" s="7" t="s">
        <v>86</v>
      </c>
      <c r="B14" s="7" t="s">
        <v>87</v>
      </c>
      <c r="C14" s="21">
        <v>0.02</v>
      </c>
      <c r="D14" s="21">
        <v>0.18</v>
      </c>
      <c r="E14" s="21">
        <v>0.4</v>
      </c>
      <c r="F14" s="21">
        <v>0.7</v>
      </c>
    </row>
    <row r="15" spans="1:6" x14ac:dyDescent="0.25">
      <c r="A15" s="7" t="s">
        <v>88</v>
      </c>
      <c r="B15" s="7" t="s">
        <v>89</v>
      </c>
      <c r="C15" s="21">
        <v>0.8</v>
      </c>
      <c r="D15" s="21">
        <v>0.8</v>
      </c>
      <c r="E15" s="21">
        <v>0.8</v>
      </c>
      <c r="F15" s="21">
        <v>0.8</v>
      </c>
    </row>
    <row r="16" spans="1:6" x14ac:dyDescent="0.25">
      <c r="A16" s="7" t="s">
        <v>90</v>
      </c>
      <c r="C16" s="22">
        <f>(1-C14)*$D$10+C14*$E$10</f>
        <v>0.28026000000000001</v>
      </c>
      <c r="D16" s="22">
        <f>(1-D14)*$D$10+D14*$E$10</f>
        <v>0.38634000000000002</v>
      </c>
      <c r="E16" s="22">
        <f>(1-E14)*$D$10+E14*$E$10</f>
        <v>0.53220000000000001</v>
      </c>
      <c r="F16" s="22">
        <f>(1-F14)*$D$10+F14*$E$10</f>
        <v>0.73110000000000008</v>
      </c>
    </row>
    <row r="17" spans="1:6" x14ac:dyDescent="0.25">
      <c r="A17" s="9" t="s">
        <v>91</v>
      </c>
      <c r="B17" s="18"/>
      <c r="C17" s="23">
        <f>ROUND(C13*C15*C16,-1)</f>
        <v>340</v>
      </c>
      <c r="D17" s="23">
        <f>ROUND(D13*D15*D16,-1)</f>
        <v>1550</v>
      </c>
      <c r="E17" s="23">
        <f>ROUND(E13*E15*E16,-1)</f>
        <v>4260</v>
      </c>
      <c r="F17" s="23">
        <f>ROUND(F13*F15*F16,-1)</f>
        <v>29240</v>
      </c>
    </row>
    <row r="19" spans="1:6" ht="57" customHeight="1" x14ac:dyDescent="0.25">
      <c r="A19" s="2" t="s">
        <v>92</v>
      </c>
      <c r="B19" s="2"/>
      <c r="C19" s="2"/>
      <c r="D19" s="2"/>
      <c r="E19" s="2"/>
      <c r="F19" s="2"/>
    </row>
  </sheetData>
  <mergeCells count="2">
    <mergeCell ref="A4:F4"/>
    <mergeCell ref="A19:F19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8"/>
  <sheetViews>
    <sheetView showGridLines="0" tabSelected="1" topLeftCell="A6" zoomScaleNormal="100" workbookViewId="0">
      <selection activeCell="I14" sqref="I14"/>
    </sheetView>
  </sheetViews>
  <sheetFormatPr defaultColWidth="8.7109375" defaultRowHeight="15" x14ac:dyDescent="0.25"/>
  <cols>
    <col min="1" max="1" width="40" customWidth="1"/>
    <col min="2" max="5" width="16" customWidth="1"/>
    <col min="6" max="6" width="56" customWidth="1"/>
  </cols>
  <sheetData>
    <row r="1" spans="1:6" ht="23.25" customHeight="1" x14ac:dyDescent="0.25">
      <c r="A1" s="3" t="s">
        <v>93</v>
      </c>
    </row>
    <row r="2" spans="1:6" x14ac:dyDescent="0.25">
      <c r="A2" s="4" t="s">
        <v>94</v>
      </c>
    </row>
    <row r="5" spans="1:6" ht="27.75" customHeight="1" x14ac:dyDescent="0.25">
      <c r="A5" s="5" t="s">
        <v>95</v>
      </c>
      <c r="B5" s="6" t="s">
        <v>6</v>
      </c>
      <c r="C5" s="6" t="s">
        <v>7</v>
      </c>
      <c r="D5" s="6" t="s">
        <v>8</v>
      </c>
      <c r="E5" s="6" t="s">
        <v>9</v>
      </c>
      <c r="F5" s="6"/>
    </row>
    <row r="6" spans="1:6" x14ac:dyDescent="0.25">
      <c r="A6" s="7" t="s">
        <v>96</v>
      </c>
      <c r="B6" s="17">
        <v>1500</v>
      </c>
      <c r="C6" s="17">
        <v>5000</v>
      </c>
      <c r="D6" s="17">
        <v>10000</v>
      </c>
      <c r="E6" s="17">
        <v>50000</v>
      </c>
    </row>
    <row r="8" spans="1:6" ht="27.75" customHeight="1" x14ac:dyDescent="0.25">
      <c r="A8" s="5" t="s">
        <v>97</v>
      </c>
      <c r="B8" s="6" t="s">
        <v>98</v>
      </c>
      <c r="C8" s="6"/>
      <c r="D8" s="6"/>
      <c r="E8" s="6"/>
      <c r="F8" s="6" t="s">
        <v>99</v>
      </c>
    </row>
    <row r="9" spans="1:6" x14ac:dyDescent="0.25">
      <c r="A9" s="7" t="s">
        <v>100</v>
      </c>
      <c r="B9" s="24">
        <v>3.5000000000000003E-2</v>
      </c>
      <c r="F9" s="7" t="s">
        <v>101</v>
      </c>
    </row>
    <row r="10" spans="1:6" x14ac:dyDescent="0.25">
      <c r="A10" s="7" t="s">
        <v>102</v>
      </c>
      <c r="B10" s="21">
        <v>0.85</v>
      </c>
      <c r="F10" s="7" t="s">
        <v>103</v>
      </c>
    </row>
    <row r="11" spans="1:6" x14ac:dyDescent="0.25">
      <c r="A11" s="7" t="s">
        <v>104</v>
      </c>
      <c r="B11" s="25">
        <v>5.0000000000000001E-3</v>
      </c>
      <c r="F11" s="7" t="s">
        <v>105</v>
      </c>
    </row>
    <row r="12" spans="1:6" x14ac:dyDescent="0.25">
      <c r="A12" s="7" t="s">
        <v>106</v>
      </c>
      <c r="B12" s="26">
        <v>3</v>
      </c>
      <c r="F12" s="7" t="s">
        <v>107</v>
      </c>
    </row>
    <row r="13" spans="1:6" x14ac:dyDescent="0.25">
      <c r="A13" s="7" t="s">
        <v>108</v>
      </c>
      <c r="B13" s="21">
        <v>0.7</v>
      </c>
      <c r="F13" s="7" t="s">
        <v>109</v>
      </c>
    </row>
    <row r="14" spans="1:6" x14ac:dyDescent="0.25">
      <c r="A14" s="7" t="s">
        <v>110</v>
      </c>
      <c r="B14" s="21">
        <v>0.6</v>
      </c>
      <c r="F14" s="7" t="s">
        <v>111</v>
      </c>
    </row>
    <row r="16" spans="1:6" ht="27.75" customHeight="1" x14ac:dyDescent="0.25">
      <c r="A16" s="5" t="s">
        <v>112</v>
      </c>
      <c r="B16" s="6" t="s">
        <v>113</v>
      </c>
      <c r="C16" s="6"/>
      <c r="D16" s="6"/>
      <c r="E16" s="6"/>
      <c r="F16" s="6" t="s">
        <v>114</v>
      </c>
    </row>
    <row r="17" spans="1:6" x14ac:dyDescent="0.25">
      <c r="A17" s="7" t="s">
        <v>115</v>
      </c>
      <c r="B17" s="27">
        <f>($B$14*'Ceník a konkurence'!F8/12+(1-$B$14)*'Ceník a konkurence'!C8)*$B$13</f>
        <v>55.36999999999999</v>
      </c>
      <c r="F17" s="7" t="s">
        <v>116</v>
      </c>
    </row>
    <row r="18" spans="1:6" x14ac:dyDescent="0.25">
      <c r="A18" s="7" t="s">
        <v>117</v>
      </c>
      <c r="B18" s="27">
        <f>(0.65*($B$14*'Ceník a konkurence'!F10/12+(1-$B$14)*'Ceník a konkurence'!C10)+0.35*($B$14*'Ceník a konkurence'!F11/12+(1-$B$14)*'Ceník a konkurence'!C11))*$B$13</f>
        <v>169.47</v>
      </c>
      <c r="F18" s="7" t="s">
        <v>118</v>
      </c>
    </row>
    <row r="19" spans="1:6" x14ac:dyDescent="0.25">
      <c r="A19" s="7" t="s">
        <v>119</v>
      </c>
      <c r="B19" s="8">
        <f>'Ceník a konkurence'!C13</f>
        <v>1090</v>
      </c>
      <c r="F19" s="7" t="s">
        <v>120</v>
      </c>
    </row>
    <row r="21" spans="1:6" ht="27.75" customHeight="1" x14ac:dyDescent="0.25">
      <c r="A21" s="5" t="s">
        <v>5</v>
      </c>
      <c r="B21" s="6" t="s">
        <v>6</v>
      </c>
      <c r="C21" s="6" t="s">
        <v>7</v>
      </c>
      <c r="D21" s="6" t="s">
        <v>8</v>
      </c>
      <c r="E21" s="6" t="s">
        <v>9</v>
      </c>
      <c r="F21" s="6" t="s">
        <v>121</v>
      </c>
    </row>
    <row r="22" spans="1:6" x14ac:dyDescent="0.25">
      <c r="A22" s="7" t="s">
        <v>28</v>
      </c>
      <c r="B22" s="15">
        <f>ROUND(B6*$B$10*$B$9*$B$17,-1)</f>
        <v>2470</v>
      </c>
      <c r="C22" s="15">
        <f>ROUND(C6*$B$10*$B$9*$B$17,-1)</f>
        <v>8240</v>
      </c>
      <c r="D22" s="15">
        <f>ROUND(D6*$B$10*$B$9*$B$17,-1)</f>
        <v>16470</v>
      </c>
      <c r="E22" s="15">
        <f>ROUND(E6*$B$10*$B$9*$B$17,-1)</f>
        <v>82360</v>
      </c>
      <c r="F22" s="7" t="s">
        <v>122</v>
      </c>
    </row>
    <row r="23" spans="1:6" x14ac:dyDescent="0.25">
      <c r="A23" s="7" t="s">
        <v>123</v>
      </c>
      <c r="B23" s="15">
        <f>ROUND(B6*$B$11*$B$18,-1)</f>
        <v>1270</v>
      </c>
      <c r="C23" s="15">
        <f>ROUND(C6*$B$11*$B$18,-1)</f>
        <v>4240</v>
      </c>
      <c r="D23" s="15">
        <f>ROUND(D6*$B$11*$B$18,-1)</f>
        <v>8470</v>
      </c>
      <c r="E23" s="15">
        <f>ROUND(E6*$B$11*$B$18,-1)</f>
        <v>42370</v>
      </c>
      <c r="F23" s="7" t="s">
        <v>124</v>
      </c>
    </row>
    <row r="24" spans="1:6" x14ac:dyDescent="0.25">
      <c r="A24" s="7" t="s">
        <v>125</v>
      </c>
      <c r="B24" s="15">
        <f>ROUNDDOWN(B6/10000*$B$12,0)*$B$19</f>
        <v>0</v>
      </c>
      <c r="C24" s="15">
        <f>ROUNDDOWN(C6/10000*$B$12,0)*$B$19</f>
        <v>1090</v>
      </c>
      <c r="D24" s="15">
        <f>ROUNDDOWN(D6/10000*$B$12,0)*$B$19</f>
        <v>3270</v>
      </c>
      <c r="E24" s="15">
        <f>ROUNDDOWN(E6/10000*$B$12,0)*$B$19</f>
        <v>16350</v>
      </c>
      <c r="F24" s="7" t="s">
        <v>126</v>
      </c>
    </row>
    <row r="25" spans="1:6" x14ac:dyDescent="0.25">
      <c r="A25" s="11" t="s">
        <v>127</v>
      </c>
      <c r="B25" s="27">
        <f>SUM(B22:B24)</f>
        <v>3740</v>
      </c>
      <c r="C25" s="27">
        <f>SUM(C22:C24)</f>
        <v>13570</v>
      </c>
      <c r="D25" s="27">
        <f>SUM(D22:D24)</f>
        <v>28210</v>
      </c>
      <c r="E25" s="27">
        <f>SUM(E22:E24)</f>
        <v>141080</v>
      </c>
      <c r="F25" s="7"/>
    </row>
    <row r="26" spans="1:6" x14ac:dyDescent="0.25">
      <c r="A26" s="7" t="s">
        <v>11</v>
      </c>
      <c r="B26" s="8">
        <f>Reklamy!C17</f>
        <v>340</v>
      </c>
      <c r="C26" s="8">
        <f>Reklamy!D17</f>
        <v>1550</v>
      </c>
      <c r="D26" s="8">
        <f>Reklamy!E17</f>
        <v>4260</v>
      </c>
      <c r="E26" s="8">
        <f>Reklamy!F17</f>
        <v>29240</v>
      </c>
      <c r="F26" s="7" t="s">
        <v>128</v>
      </c>
    </row>
    <row r="27" spans="1:6" x14ac:dyDescent="0.25">
      <c r="A27" s="9" t="s">
        <v>12</v>
      </c>
      <c r="B27" s="23">
        <f>B25+B26</f>
        <v>4080</v>
      </c>
      <c r="C27" s="23">
        <f>C25+C26</f>
        <v>15120</v>
      </c>
      <c r="D27" s="23">
        <f>D25+D26</f>
        <v>32470</v>
      </c>
      <c r="E27" s="23">
        <f>E25+E26</f>
        <v>170320</v>
      </c>
      <c r="F27" s="28"/>
    </row>
    <row r="28" spans="1:6" x14ac:dyDescent="0.25">
      <c r="A28" s="9" t="s">
        <v>13</v>
      </c>
      <c r="B28" s="23">
        <f>B27*12</f>
        <v>48960</v>
      </c>
      <c r="C28" s="23">
        <f>C27*12</f>
        <v>181440</v>
      </c>
      <c r="D28" s="23">
        <f>D27*12</f>
        <v>389640</v>
      </c>
      <c r="E28" s="23">
        <f>E27*12</f>
        <v>2043840</v>
      </c>
      <c r="F28" s="28" t="s">
        <v>129</v>
      </c>
    </row>
    <row r="30" spans="1:6" ht="27.75" customHeight="1" x14ac:dyDescent="0.25">
      <c r="A30" s="5" t="s">
        <v>130</v>
      </c>
      <c r="B30" s="6" t="s">
        <v>6</v>
      </c>
      <c r="C30" s="6" t="s">
        <v>7</v>
      </c>
      <c r="D30" s="6" t="s">
        <v>8</v>
      </c>
      <c r="E30" s="6" t="s">
        <v>9</v>
      </c>
      <c r="F30" s="6" t="s">
        <v>131</v>
      </c>
    </row>
    <row r="31" spans="1:6" ht="15" customHeight="1" x14ac:dyDescent="0.25">
      <c r="A31" s="7" t="s">
        <v>132</v>
      </c>
      <c r="B31" s="15">
        <f>ROUND(B$6*$B$10*0.02*$B$17,-1)+B$23+B$24</f>
        <v>2680</v>
      </c>
      <c r="C31" s="15">
        <f>ROUND(C$6*$B$10*0.02*$B$17,-1)+C$23+C$24</f>
        <v>10040</v>
      </c>
      <c r="D31" s="15">
        <f>ROUND(D$6*$B$10*0.02*$B$17,-1)+D$23+D$24</f>
        <v>21150</v>
      </c>
      <c r="E31" s="15">
        <f>ROUND(E$6*$B$10*0.02*$B$17,-1)+E$23+E$24</f>
        <v>105780</v>
      </c>
      <c r="F31" s="1" t="s">
        <v>133</v>
      </c>
    </row>
    <row r="32" spans="1:6" x14ac:dyDescent="0.25">
      <c r="A32" s="7" t="s">
        <v>134</v>
      </c>
      <c r="B32" s="15">
        <f>ROUND(B$6*$B$10*0.025*$B$17,-1)+B$23+B$24</f>
        <v>3030</v>
      </c>
      <c r="C32" s="15">
        <f>ROUND(C$6*$B$10*0.025*$B$17,-1)+C$23+C$24</f>
        <v>11210</v>
      </c>
      <c r="D32" s="15">
        <f>ROUND(D$6*$B$10*0.025*$B$17,-1)+D$23+D$24</f>
        <v>23510</v>
      </c>
      <c r="E32" s="15">
        <f>ROUND(E$6*$B$10*0.025*$B$17,-1)+E$23+E$24</f>
        <v>117550</v>
      </c>
      <c r="F32" s="1"/>
    </row>
    <row r="33" spans="1:6" x14ac:dyDescent="0.25">
      <c r="A33" s="7" t="s">
        <v>135</v>
      </c>
      <c r="B33" s="15">
        <f>ROUND(B$6*$B$10*0.03*$B$17,-1)+B$23+B$24</f>
        <v>3390</v>
      </c>
      <c r="C33" s="15">
        <f>ROUND(C$6*$B$10*0.03*$B$17,-1)+C$23+C$24</f>
        <v>12390</v>
      </c>
      <c r="D33" s="15">
        <f>ROUND(D$6*$B$10*0.03*$B$17,-1)+D$23+D$24</f>
        <v>25860</v>
      </c>
      <c r="E33" s="15">
        <f>ROUND(E$6*$B$10*0.03*$B$17,-1)+E$23+E$24</f>
        <v>129320</v>
      </c>
      <c r="F33" s="1"/>
    </row>
    <row r="34" spans="1:6" x14ac:dyDescent="0.25">
      <c r="A34" s="9" t="s">
        <v>136</v>
      </c>
      <c r="B34" s="23">
        <f>ROUND(B$6*$B$10*0.035*$B$17,-1)+B$23+B$24</f>
        <v>3740</v>
      </c>
      <c r="C34" s="23">
        <f>ROUND(C$6*$B$10*0.035*$B$17,-1)+C$23+C$24</f>
        <v>13570</v>
      </c>
      <c r="D34" s="23">
        <f>ROUND(D$6*$B$10*0.035*$B$17,-1)+D$23+D$24</f>
        <v>28210</v>
      </c>
      <c r="E34" s="23">
        <f>ROUND(E$6*$B$10*0.035*$B$17,-1)+E$23+E$24</f>
        <v>141080</v>
      </c>
      <c r="F34" s="1"/>
    </row>
    <row r="35" spans="1:6" x14ac:dyDescent="0.25">
      <c r="A35" s="7" t="s">
        <v>137</v>
      </c>
      <c r="B35" s="15">
        <f>ROUND(B$6*$B$10*0.04*$B$17,-1)+B$23+B$24</f>
        <v>4090</v>
      </c>
      <c r="C35" s="15">
        <f>ROUND(C$6*$B$10*0.04*$B$17,-1)+C$23+C$24</f>
        <v>14740</v>
      </c>
      <c r="D35" s="15">
        <f>ROUND(D$6*$B$10*0.04*$B$17,-1)+D$23+D$24</f>
        <v>30570</v>
      </c>
      <c r="E35" s="15">
        <f>ROUND(E$6*$B$10*0.04*$B$17,-1)+E$23+E$24</f>
        <v>152850</v>
      </c>
      <c r="F35" s="1"/>
    </row>
    <row r="36" spans="1:6" x14ac:dyDescent="0.25">
      <c r="A36" s="7" t="s">
        <v>138</v>
      </c>
      <c r="B36" s="15">
        <f>ROUND(B$6*$B$10*0.05*$B$17,-1)+B$23+B$24</f>
        <v>4800</v>
      </c>
      <c r="C36" s="15">
        <f>ROUND(C$6*$B$10*0.05*$B$17,-1)+C$23+C$24</f>
        <v>17100</v>
      </c>
      <c r="D36" s="15">
        <f>ROUND(D$6*$B$10*0.05*$B$17,-1)+D$23+D$24</f>
        <v>35270</v>
      </c>
      <c r="E36" s="15">
        <f>ROUND(E$6*$B$10*0.05*$B$17,-1)+E$23+E$24</f>
        <v>176380</v>
      </c>
      <c r="F36" s="1"/>
    </row>
    <row r="38" spans="1:6" ht="69.75" customHeight="1" x14ac:dyDescent="0.25">
      <c r="A38" s="2" t="s">
        <v>139</v>
      </c>
      <c r="B38" s="2"/>
      <c r="C38" s="2"/>
      <c r="D38" s="2"/>
      <c r="E38" s="2"/>
      <c r="F38" s="2"/>
    </row>
  </sheetData>
  <mergeCells count="2">
    <mergeCell ref="F31:F36"/>
    <mergeCell ref="A38:F38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Přehled</vt:lpstr>
      <vt:lpstr>Ceník a konkurence</vt:lpstr>
      <vt:lpstr>Reklamy</vt:lpstr>
      <vt:lpstr>Výpočty a citlivost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Marek Sirakov</cp:lastModifiedBy>
  <cp:revision>0</cp:revision>
  <dcterms:created xsi:type="dcterms:W3CDTF">2026-10-11T10:26:55Z</dcterms:created>
  <dcterms:modified xsi:type="dcterms:W3CDTF">2026-10-11T10:33:29Z</dcterms:modified>
  <dc:language>en-US</dc:language>
</cp:coreProperties>
</file>